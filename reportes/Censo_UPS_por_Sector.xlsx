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sector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Notas" sheetId="3" state="visible" r:id="rId3"/>
  </sheets>
  <definedNames>
    <definedName name="_xlnm._FilterDatabase" localSheetId="1" hidden="1">'Detalle'!$A$1:$S$86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9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  <col width="11" customWidth="1" min="7" max="7"/>
    <col width="10" customWidth="1" min="8" max="8"/>
    <col width="11" customWidth="1" min="9" max="9"/>
    <col width="11" customWidth="1" min="10" max="10"/>
    <col width="90" customWidth="1" min="11" max="11"/>
  </cols>
  <sheetData>
    <row r="1">
      <c r="A1" s="1" t="inlineStr">
        <is>
          <t>CENSO DE UPS (SFI) POR SECTOR — REFINERÍA OLMECA · SICM ELÉCTRICO</t>
        </is>
      </c>
    </row>
    <row r="2">
      <c r="A2" s="2" t="inlineStr">
        <is>
          <t>Fuente: censo maestro SAP (data/normalized/equipos.json, familia baterías). Una fila por banco de baterías de SFI; la potencia es la "potencia nominal" registrada en SAP.</t>
        </is>
      </c>
    </row>
    <row r="4" ht="40" customHeight="1">
      <c r="A4" s="3" t="inlineStr">
        <is>
          <t>Sector</t>
        </is>
      </c>
      <c r="B4" s="3" t="inlineStr">
        <is>
          <t>N° SFI (UPS)</t>
        </is>
      </c>
      <c r="C4" s="3" t="inlineStr">
        <is>
          <t>Con kVA en SAP</t>
        </is>
      </c>
      <c r="D4" s="3" t="inlineStr">
        <is>
          <t>Sin kVA en SAP</t>
        </is>
      </c>
      <c r="E4" s="3" t="inlineStr">
        <is>
          <t>% sin dato</t>
        </is>
      </c>
      <c r="F4" s="3" t="inlineStr">
        <is>
          <t>Potencia instalada (kVA)</t>
        </is>
      </c>
      <c r="G4" s="3" t="inlineStr">
        <is>
          <t>kVA máx. unitario</t>
        </is>
      </c>
      <c r="H4" s="3" t="inlineStr">
        <is>
          <t>kVA promedio</t>
        </is>
      </c>
      <c r="I4" s="3" t="inlineStr">
        <is>
          <t>Autonomía mín. (h)</t>
        </is>
      </c>
      <c r="J4" s="3" t="inlineStr">
        <is>
          <t>Autonomía máx. (h)</t>
        </is>
      </c>
      <c r="K4" s="3" t="inlineStr">
        <is>
          <t>Plantas / áreas</t>
        </is>
      </c>
    </row>
    <row r="5">
      <c r="A5" s="4" t="inlineStr">
        <is>
          <t>1</t>
        </is>
      </c>
      <c r="B5" s="5">
        <f>COUNTIFS(Detalle!$A$2:$A$86,A5)</f>
        <v/>
      </c>
      <c r="C5" s="5">
        <f>COUNTIFS(Detalle!$A$2:$A$86,A5,Detalle!$E$2:$E$86,"&gt;0")</f>
        <v/>
      </c>
      <c r="D5" s="5">
        <f>B5-C5</f>
        <v/>
      </c>
      <c r="E5" s="6">
        <f>IF(B5=0,0,D5/B5)</f>
        <v/>
      </c>
      <c r="F5" s="7">
        <f>SUMIFS(Detalle!$E$2:$E$86,Detalle!$A$2:$A$86,A5)</f>
        <v/>
      </c>
      <c r="G5" s="8">
        <f>MAXIFS(Detalle!$E$2:$E$86,Detalle!$A$2:$A$86,A5)</f>
        <v/>
      </c>
      <c r="H5" s="8">
        <f>IF(C5=0,0,F5/C5)</f>
        <v/>
      </c>
      <c r="I5" s="5">
        <f>MINIFS(Detalle!$G$2:$G$86,Detalle!$A$2:$A$86,A5,Detalle!$G$2:$G$86,"&gt;0")</f>
        <v/>
      </c>
      <c r="J5" s="5">
        <f>MAXIFS(Detalle!$G$2:$G$86,Detalle!$A$2:$A$86,A5)</f>
        <v/>
      </c>
      <c r="K5" s="9" t="inlineStr">
        <is>
          <t>U-De Destilación Combinada (UDC1) Tren 1; U-De Destilación Combinada (UDC2) Tren 2</t>
        </is>
      </c>
    </row>
    <row r="6">
      <c r="A6" s="4" t="inlineStr">
        <is>
          <t>2</t>
        </is>
      </c>
      <c r="B6" s="5">
        <f>COUNTIFS(Detalle!$A$2:$A$86,A6)</f>
        <v/>
      </c>
      <c r="C6" s="5">
        <f>COUNTIFS(Detalle!$A$2:$A$86,A6,Detalle!$E$2:$E$86,"&gt;0")</f>
        <v/>
      </c>
      <c r="D6" s="5">
        <f>B6-C6</f>
        <v/>
      </c>
      <c r="E6" s="6">
        <f>IF(B6=0,0,D6/B6)</f>
        <v/>
      </c>
      <c r="F6" s="7">
        <f>SUMIFS(Detalle!$E$2:$E$86,Detalle!$A$2:$A$86,A6)</f>
        <v/>
      </c>
      <c r="G6" s="8">
        <f>MAXIFS(Detalle!$E$2:$E$86,Detalle!$A$2:$A$86,A6)</f>
        <v/>
      </c>
      <c r="H6" s="8">
        <f>IF(C6=0,0,F6/C6)</f>
        <v/>
      </c>
      <c r="I6" s="5">
        <f>MINIFS(Detalle!$G$2:$G$86,Detalle!$A$2:$A$86,A6,Detalle!$G$2:$G$86,"&gt;0")</f>
        <v/>
      </c>
      <c r="J6" s="5">
        <f>MAXIFS(Detalle!$G$2:$G$86,Detalle!$A$2:$A$86,A6)</f>
        <v/>
      </c>
      <c r="K6" s="9" t="inlineStr">
        <is>
          <t>U-De Coquización Retardada</t>
        </is>
      </c>
    </row>
    <row r="7">
      <c r="A7" s="4" t="inlineStr">
        <is>
          <t>3</t>
        </is>
      </c>
      <c r="B7" s="5">
        <f>COUNTIFS(Detalle!$A$2:$A$86,A7)</f>
        <v/>
      </c>
      <c r="C7" s="5">
        <f>COUNTIFS(Detalle!$A$2:$A$86,A7,Detalle!$E$2:$E$86,"&gt;0")</f>
        <v/>
      </c>
      <c r="D7" s="5">
        <f>B7-C7</f>
        <v/>
      </c>
      <c r="E7" s="6">
        <f>IF(B7=0,0,D7/B7)</f>
        <v/>
      </c>
      <c r="F7" s="7">
        <f>SUMIFS(Detalle!$E$2:$E$86,Detalle!$A$2:$A$86,A7)</f>
        <v/>
      </c>
      <c r="G7" s="8">
        <f>MAXIFS(Detalle!$E$2:$E$86,Detalle!$A$2:$A$86,A7)</f>
        <v/>
      </c>
      <c r="H7" s="8">
        <f>IF(C7=0,0,F7/C7)</f>
        <v/>
      </c>
      <c r="I7" s="5">
        <f>MINIFS(Detalle!$G$2:$G$86,Detalle!$A$2:$A$86,A7,Detalle!$G$2:$G$86,"&gt;0")</f>
        <v/>
      </c>
      <c r="J7" s="5">
        <f>MAXIFS(Detalle!$G$2:$G$86,Detalle!$A$2:$A$86,A7)</f>
        <v/>
      </c>
      <c r="K7" s="9" t="inlineStr">
        <is>
          <t>U-De Alquilación (Alky1)</t>
        </is>
      </c>
    </row>
    <row r="8">
      <c r="A8" s="4" t="inlineStr">
        <is>
          <t>4</t>
        </is>
      </c>
      <c r="B8" s="5">
        <f>COUNTIFS(Detalle!$A$2:$A$86,A8)</f>
        <v/>
      </c>
      <c r="C8" s="5">
        <f>COUNTIFS(Detalle!$A$2:$A$86,A8,Detalle!$E$2:$E$86,"&gt;0")</f>
        <v/>
      </c>
      <c r="D8" s="5">
        <f>B8-C8</f>
        <v/>
      </c>
      <c r="E8" s="6">
        <f>IF(B8=0,0,D8/B8)</f>
        <v/>
      </c>
      <c r="F8" s="7">
        <f>SUMIFS(Detalle!$E$2:$E$86,Detalle!$A$2:$A$86,A8)</f>
        <v/>
      </c>
      <c r="G8" s="8">
        <f>MAXIFS(Detalle!$E$2:$E$86,Detalle!$A$2:$A$86,A8)</f>
        <v/>
      </c>
      <c r="H8" s="8">
        <f>IF(C8=0,0,F8/C8)</f>
        <v/>
      </c>
      <c r="I8" s="5">
        <f>MINIFS(Detalle!$G$2:$G$86,Detalle!$A$2:$A$86,A8,Detalle!$G$2:$G$86,"&gt;0")</f>
        <v/>
      </c>
      <c r="J8" s="5">
        <f>MAXIFS(Detalle!$G$2:$G$86,Detalle!$A$2:$A$86,A8)</f>
        <v/>
      </c>
      <c r="K8" s="9" t="inlineStr">
        <is>
          <t>U-Generadora De Hidrógeno (Ph21) Tren 1</t>
        </is>
      </c>
    </row>
    <row r="9">
      <c r="A9" s="4" t="inlineStr">
        <is>
          <t>5</t>
        </is>
      </c>
      <c r="B9" s="5">
        <f>COUNTIFS(Detalle!$A$2:$A$86,A9)</f>
        <v/>
      </c>
      <c r="C9" s="5">
        <f>COUNTIFS(Detalle!$A$2:$A$86,A9,Detalle!$E$2:$E$86,"&gt;0")</f>
        <v/>
      </c>
      <c r="D9" s="5">
        <f>B9-C9</f>
        <v/>
      </c>
      <c r="E9" s="6">
        <f>IF(B9=0,0,D9/B9)</f>
        <v/>
      </c>
      <c r="F9" s="7">
        <f>SUMIFS(Detalle!$E$2:$E$86,Detalle!$A$2:$A$86,A9)</f>
        <v/>
      </c>
      <c r="G9" s="8">
        <f>MAXIFS(Detalle!$E$2:$E$86,Detalle!$A$2:$A$86,A9)</f>
        <v/>
      </c>
      <c r="H9" s="8">
        <f>IF(C9=0,0,F9/C9)</f>
        <v/>
      </c>
      <c r="I9" s="5">
        <f>MINIFS(Detalle!$G$2:$G$86,Detalle!$A$2:$A$86,A9,Detalle!$G$2:$G$86,"&gt;0")</f>
        <v/>
      </c>
      <c r="J9" s="5">
        <f>MAXIFS(Detalle!$G$2:$G$86,Detalle!$A$2:$A$86,A9)</f>
        <v/>
      </c>
      <c r="K9" s="9" t="inlineStr">
        <is>
          <t>U-Isomerizadora Pentanos/Hexanos (Pnx1); U-Tratamiento/Recuperación Gas (Ptrg1)</t>
        </is>
      </c>
    </row>
    <row r="10">
      <c r="A10" s="4" t="inlineStr">
        <is>
          <t>6</t>
        </is>
      </c>
      <c r="B10" s="5">
        <f>COUNTIFS(Detalle!$A$2:$A$86,A10)</f>
        <v/>
      </c>
      <c r="C10" s="5">
        <f>COUNTIFS(Detalle!$A$2:$A$86,A10,Detalle!$E$2:$E$86,"&gt;0")</f>
        <v/>
      </c>
      <c r="D10" s="5">
        <f>B10-C10</f>
        <v/>
      </c>
      <c r="E10" s="6">
        <f>IF(B10=0,0,D10/B10)</f>
        <v/>
      </c>
      <c r="F10" s="7">
        <f>SUMIFS(Detalle!$E$2:$E$86,Detalle!$A$2:$A$86,A10)</f>
        <v/>
      </c>
      <c r="G10" s="8">
        <f>MAXIFS(Detalle!$E$2:$E$86,Detalle!$A$2:$A$86,A10)</f>
        <v/>
      </c>
      <c r="H10" s="8">
        <f>IF(C10=0,0,F10/C10)</f>
        <v/>
      </c>
      <c r="I10" s="5">
        <f>MINIFS(Detalle!$G$2:$G$86,Detalle!$A$2:$A$86,A10,Detalle!$G$2:$G$86,"&gt;0")</f>
        <v/>
      </c>
      <c r="J10" s="5">
        <f>MAXIFS(Detalle!$G$2:$G$86,Detalle!$A$2:$A$86,A10)</f>
        <v/>
      </c>
      <c r="K10" s="9" t="inlineStr">
        <is>
          <t>Bunker; Edificio Administrativo Sur; Laboratorio Quimico; Planta De Tto De Aguas Amargas Comun; U-De Tratamiento De Amina Area Comun; U-Recuperadora De Azufre (Pra1) Tren 1</t>
        </is>
      </c>
    </row>
    <row r="11">
      <c r="A11" s="4" t="inlineStr">
        <is>
          <t>7</t>
        </is>
      </c>
      <c r="B11" s="5">
        <f>COUNTIFS(Detalle!$A$2:$A$86,A11)</f>
        <v/>
      </c>
      <c r="C11" s="5">
        <f>COUNTIFS(Detalle!$A$2:$A$86,A11,Detalle!$E$2:$E$86,"&gt;0")</f>
        <v/>
      </c>
      <c r="D11" s="5">
        <f>B11-C11</f>
        <v/>
      </c>
      <c r="E11" s="6">
        <f>IF(B11=0,0,D11/B11)</f>
        <v/>
      </c>
      <c r="F11" s="7">
        <f>SUMIFS(Detalle!$E$2:$E$86,Detalle!$A$2:$A$86,A11)</f>
        <v/>
      </c>
      <c r="G11" s="8">
        <f>MAXIFS(Detalle!$E$2:$E$86,Detalle!$A$2:$A$86,A11)</f>
        <v/>
      </c>
      <c r="H11" s="8">
        <f>IF(C11=0,0,F11/C11)</f>
        <v/>
      </c>
      <c r="I11" s="5">
        <f>MINIFS(Detalle!$G$2:$G$86,Detalle!$A$2:$A$86,A11,Detalle!$G$2:$G$86,"&gt;0")</f>
        <v/>
      </c>
      <c r="J11" s="5">
        <f>MAXIFS(Detalle!$G$2:$G$86,Detalle!$A$2:$A$86,A11)</f>
        <v/>
      </c>
      <c r="K11" s="9" t="inlineStr">
        <is>
          <t>Carcamo Sur; Planta De Tratamiento De Efluentes</t>
        </is>
      </c>
    </row>
    <row r="12">
      <c r="A12" s="4" t="inlineStr">
        <is>
          <t>8</t>
        </is>
      </c>
      <c r="B12" s="5">
        <f>COUNTIFS(Detalle!$A$2:$A$86,A12)</f>
        <v/>
      </c>
      <c r="C12" s="5">
        <f>COUNTIFS(Detalle!$A$2:$A$86,A12,Detalle!$E$2:$E$86,"&gt;0")</f>
        <v/>
      </c>
      <c r="D12" s="5">
        <f>B12-C12</f>
        <v/>
      </c>
      <c r="E12" s="6">
        <f>IF(B12=0,0,D12/B12)</f>
        <v/>
      </c>
      <c r="F12" s="7">
        <f>SUMIFS(Detalle!$E$2:$E$86,Detalle!$A$2:$A$86,A12)</f>
        <v/>
      </c>
      <c r="G12" s="8">
        <f>MAXIFS(Detalle!$E$2:$E$86,Detalle!$A$2:$A$86,A12)</f>
        <v/>
      </c>
      <c r="H12" s="8">
        <f>IF(C12=0,0,F12/C12)</f>
        <v/>
      </c>
      <c r="I12" s="5">
        <f>MINIFS(Detalle!$G$2:$G$86,Detalle!$A$2:$A$86,A12,Detalle!$G$2:$G$86,"&gt;0")</f>
        <v/>
      </c>
      <c r="J12" s="5">
        <f>MAXIFS(Detalle!$G$2:$G$86,Detalle!$A$2:$A$86,A12)</f>
        <v/>
      </c>
      <c r="K12" s="9" t="inlineStr">
        <is>
          <t>Arranque Negro; Planta De Cogeneración; Pretratamiento De Agua; Seccion De Contraincendio; Seccion Torre De Enfriamiento Ct-00201; Seccion Torre De Enfriamiento Ct-00202; Seccion Torre De Enfriamiento Ct-00203; Servicios Complementarios; Suministro De Agua Cruda; Unidad Desmineralizadora De Agua</t>
        </is>
      </c>
    </row>
    <row r="13">
      <c r="A13" s="4" t="inlineStr">
        <is>
          <t>TALLERES</t>
        </is>
      </c>
      <c r="B13" s="5">
        <f>COUNTIFS(Detalle!$A$2:$A$86,A13)</f>
        <v/>
      </c>
      <c r="C13" s="5">
        <f>COUNTIFS(Detalle!$A$2:$A$86,A13,Detalle!$E$2:$E$86,"&gt;0")</f>
        <v/>
      </c>
      <c r="D13" s="5">
        <f>B13-C13</f>
        <v/>
      </c>
      <c r="E13" s="6">
        <f>IF(B13=0,0,D13/B13)</f>
        <v/>
      </c>
      <c r="F13" s="7">
        <f>SUMIFS(Detalle!$E$2:$E$86,Detalle!$A$2:$A$86,A13)</f>
        <v/>
      </c>
      <c r="G13" s="8">
        <f>MAXIFS(Detalle!$E$2:$E$86,Detalle!$A$2:$A$86,A13)</f>
        <v/>
      </c>
      <c r="H13" s="8">
        <f>IF(C13=0,0,F13/C13)</f>
        <v/>
      </c>
      <c r="I13" s="5">
        <f>MINIFS(Detalle!$G$2:$G$86,Detalle!$A$2:$A$86,A13,Detalle!$G$2:$G$86,"&gt;0")</f>
        <v/>
      </c>
      <c r="J13" s="5">
        <f>MAXIFS(Detalle!$G$2:$G$86,Detalle!$A$2:$A$86,A13)</f>
        <v/>
      </c>
      <c r="K13" s="9" t="inlineStr">
        <is>
          <t>Central Ci; Edificio Administrativo Norte; Edificio Administrativo Sur; Edificio Telecom</t>
        </is>
      </c>
    </row>
    <row r="14">
      <c r="A14" s="10" t="inlineStr">
        <is>
          <t>TOTAL</t>
        </is>
      </c>
      <c r="B14" s="11">
        <f>SUM(B5:B13)</f>
        <v/>
      </c>
      <c r="C14" s="11">
        <f>SUM(C5:C13)</f>
        <v/>
      </c>
      <c r="D14" s="11">
        <f>SUM(D5:D13)</f>
        <v/>
      </c>
      <c r="E14" s="12">
        <f>D14/B14</f>
        <v/>
      </c>
      <c r="F14" s="13">
        <f>SUM(F5:F13)</f>
        <v/>
      </c>
      <c r="G14" s="14">
        <f>MAX(G5:G13)</f>
        <v/>
      </c>
      <c r="H14" s="14">
        <f>F14/C14</f>
        <v/>
      </c>
      <c r="I14" s="11">
        <f>MIN(I5:I13)</f>
        <v/>
      </c>
      <c r="J14" s="11">
        <f>MAX(J5:J13)</f>
        <v/>
      </c>
      <c r="K14" s="15" t="n"/>
    </row>
    <row r="16">
      <c r="A16" s="2" t="inlineStr">
        <is>
          <t>Lectura: el kVA instalado solo suma las unidades con dato en SAP; el sector con muchas unidades sin kVA subestima su potencia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9" customWidth="1" min="11" max="11"/>
    <col width="15" customWidth="1" min="12" max="12"/>
    <col width="9" customWidth="1" min="13" max="13"/>
    <col width="14" customWidth="1" min="14" max="14"/>
    <col width="9" customWidth="1" min="15" max="15"/>
    <col width="10" customWidth="1" min="16" max="16"/>
    <col width="28" customWidth="1" min="17" max="17"/>
    <col width="30" customWidth="1" min="18" max="18"/>
    <col width="14" customWidth="1" min="19" max="19"/>
  </cols>
  <sheetData>
    <row r="1" ht="42" customHeight="1">
      <c r="A1" s="3" t="inlineStr">
        <is>
          <t>Sector</t>
        </is>
      </c>
      <c r="B1" s="3" t="inlineStr">
        <is>
          <t>Planta / área</t>
        </is>
      </c>
      <c r="C1" s="3" t="inlineStr">
        <is>
          <t>TAG banco (SFI)</t>
        </is>
      </c>
      <c r="D1" s="3" t="inlineStr">
        <is>
          <t>SAP</t>
        </is>
      </c>
      <c r="E1" s="3" t="inlineStr">
        <is>
          <t>Potencia SFI (kVA)</t>
        </is>
      </c>
      <c r="F1" s="3" t="inlineStr">
        <is>
          <t>Capacidad banco (Ah)</t>
        </is>
      </c>
      <c r="G1" s="3" t="inlineStr">
        <is>
          <t>Autonomía (h)</t>
        </is>
      </c>
      <c r="H1" s="3" t="inlineStr">
        <is>
          <t>Corriente salida rect. (A)</t>
        </is>
      </c>
      <c r="I1" s="3" t="inlineStr">
        <is>
          <t>V salida (Vcc)</t>
        </is>
      </c>
      <c r="J1" s="3" t="inlineStr">
        <is>
          <t>V flotación (Vcc)</t>
        </is>
      </c>
      <c r="K1" s="3" t="inlineStr">
        <is>
          <t>N° celdas</t>
        </is>
      </c>
      <c r="L1" s="3" t="inlineStr">
        <is>
          <t>Tipo batería</t>
        </is>
      </c>
      <c r="M1" s="3" t="inlineStr">
        <is>
          <t>Marca</t>
        </is>
      </c>
      <c r="N1" s="3" t="inlineStr">
        <is>
          <t>Modelo</t>
        </is>
      </c>
      <c r="O1" s="3" t="inlineStr">
        <is>
          <t>Fases entrada</t>
        </is>
      </c>
      <c r="P1" s="3" t="inlineStr">
        <is>
          <t>V entrada (V)</t>
        </is>
      </c>
      <c r="Q1" s="3" t="inlineStr">
        <is>
          <t>Observación de dato</t>
        </is>
      </c>
      <c r="R1" s="3" t="inlineStr">
        <is>
          <t>Estado recorrido 02/10/26</t>
        </is>
      </c>
      <c r="S1" s="3" t="inlineStr">
        <is>
          <t>Carga medida 02/10 (kVA)</t>
        </is>
      </c>
    </row>
    <row r="2">
      <c r="A2" s="16" t="inlineStr">
        <is>
          <t>1</t>
        </is>
      </c>
      <c r="B2" s="16" t="inlineStr">
        <is>
          <t>U-DE DESTILACIÓN COMBINADA (UDC1) TREN 1</t>
        </is>
      </c>
      <c r="C2" s="16" t="inlineStr">
        <is>
          <t>BB-SFI-12_1-01</t>
        </is>
      </c>
      <c r="D2" s="16" t="inlineStr">
        <is>
          <t>20939882</t>
        </is>
      </c>
      <c r="E2" s="17" t="n">
        <v>80</v>
      </c>
      <c r="F2" s="18" t="n">
        <v>1350</v>
      </c>
      <c r="G2" s="19" t="n">
        <v>1.5</v>
      </c>
      <c r="H2" s="19" t="n">
        <v>800</v>
      </c>
      <c r="I2" s="19" t="n">
        <v>125</v>
      </c>
      <c r="J2" s="19" t="n">
        <v>143</v>
      </c>
      <c r="K2" s="19" t="n">
        <v>100</v>
      </c>
      <c r="L2" s="16" t="inlineStr">
        <is>
          <t>NIQUEL-CADMIO</t>
        </is>
      </c>
      <c r="M2" s="16" t="inlineStr">
        <is>
          <t>GAZ</t>
        </is>
      </c>
      <c r="N2" s="16" t="inlineStr">
        <is>
          <t>KGM 1350 P</t>
        </is>
      </c>
      <c r="O2" s="19" t="n">
        <v>3</v>
      </c>
      <c r="P2" s="19" t="n">
        <v>480</v>
      </c>
      <c r="Q2" s="16" t="inlineStr"/>
      <c r="R2" s="16" t="inlineStr">
        <is>
          <t>Fuera de servicio (bypass externo)</t>
        </is>
      </c>
      <c r="S2" s="17" t="n"/>
    </row>
    <row r="3">
      <c r="A3" s="4" t="inlineStr">
        <is>
          <t>1</t>
        </is>
      </c>
      <c r="B3" s="4" t="inlineStr">
        <is>
          <t>U-DE DESTILACIÓN COMBINADA (UDC1) TREN 1</t>
        </is>
      </c>
      <c r="C3" s="4" t="inlineStr">
        <is>
          <t>BB-SFI-12_1-SCD/TEL</t>
        </is>
      </c>
      <c r="D3" s="4" t="inlineStr">
        <is>
          <t>20939884</t>
        </is>
      </c>
      <c r="E3" s="8" t="n">
        <v>80</v>
      </c>
      <c r="F3" s="20" t="n">
        <v>950</v>
      </c>
      <c r="G3" s="5" t="n">
        <v>0.5</v>
      </c>
      <c r="H3" s="5" t="n">
        <v>800</v>
      </c>
      <c r="I3" s="5" t="n">
        <v>125</v>
      </c>
      <c r="J3" s="5" t="n">
        <v>143</v>
      </c>
      <c r="K3" s="5" t="n">
        <v>100</v>
      </c>
      <c r="L3" s="4" t="inlineStr">
        <is>
          <t>NIQUEL-CADMIO</t>
        </is>
      </c>
      <c r="M3" s="4" t="inlineStr">
        <is>
          <t>GAZ</t>
        </is>
      </c>
      <c r="N3" s="4" t="inlineStr">
        <is>
          <t>KGM 950 P</t>
        </is>
      </c>
      <c r="O3" s="5" t="n">
        <v>3</v>
      </c>
      <c r="P3" s="5" t="n">
        <v>480</v>
      </c>
      <c r="Q3" s="4" t="inlineStr"/>
      <c r="R3" s="4" t="inlineStr">
        <is>
          <t>En operación</t>
        </is>
      </c>
      <c r="S3" s="8" t="n">
        <v>11.136</v>
      </c>
    </row>
    <row r="4">
      <c r="A4" s="4" t="inlineStr">
        <is>
          <t>1</t>
        </is>
      </c>
      <c r="B4" s="4" t="inlineStr">
        <is>
          <t>U-DE DESTILACIÓN COMBINADA (UDC1) TREN 1</t>
        </is>
      </c>
      <c r="C4" s="4" t="inlineStr">
        <is>
          <t>BB-SFI-12_1-SIS/F&amp;G</t>
        </is>
      </c>
      <c r="D4" s="4" t="inlineStr">
        <is>
          <t>20939319</t>
        </is>
      </c>
      <c r="E4" s="8" t="n">
        <v>60</v>
      </c>
      <c r="F4" s="20" t="n">
        <v>690</v>
      </c>
      <c r="G4" s="5" t="n">
        <v>0.5</v>
      </c>
      <c r="H4" s="5" t="n">
        <v>491</v>
      </c>
      <c r="I4" s="5" t="n">
        <v>125</v>
      </c>
      <c r="J4" s="5" t="n">
        <v>143</v>
      </c>
      <c r="K4" s="5" t="n">
        <v>100</v>
      </c>
      <c r="L4" s="4" t="inlineStr">
        <is>
          <t>NIQUEL-CADMIO</t>
        </is>
      </c>
      <c r="M4" s="4" t="inlineStr">
        <is>
          <t>GAZ</t>
        </is>
      </c>
      <c r="N4" s="4" t="inlineStr">
        <is>
          <t>KGM 690 P</t>
        </is>
      </c>
      <c r="O4" s="5" t="n">
        <v>3</v>
      </c>
      <c r="P4" s="5" t="n">
        <v>480</v>
      </c>
      <c r="Q4" s="4" t="inlineStr"/>
      <c r="R4" s="4" t="inlineStr">
        <is>
          <t>En operación</t>
        </is>
      </c>
      <c r="S4" s="8" t="n">
        <v>8.448</v>
      </c>
    </row>
    <row r="5">
      <c r="A5" s="4" t="inlineStr">
        <is>
          <t>1</t>
        </is>
      </c>
      <c r="B5" s="4" t="inlineStr">
        <is>
          <t>U-DE DESTILACIÓN COMBINADA (UDC2) TREN 2</t>
        </is>
      </c>
      <c r="C5" s="4" t="inlineStr">
        <is>
          <t>BB-SFI-12-01</t>
        </is>
      </c>
      <c r="D5" s="4" t="inlineStr">
        <is>
          <t>20939874</t>
        </is>
      </c>
      <c r="E5" s="8" t="n">
        <v>80</v>
      </c>
      <c r="F5" s="20" t="n">
        <v>1350</v>
      </c>
      <c r="G5" s="5" t="n">
        <v>1.5</v>
      </c>
      <c r="H5" s="5" t="n">
        <v>800</v>
      </c>
      <c r="I5" s="5" t="n">
        <v>125</v>
      </c>
      <c r="J5" s="5" t="n">
        <v>143</v>
      </c>
      <c r="K5" s="5" t="n">
        <v>100</v>
      </c>
      <c r="L5" s="4" t="inlineStr">
        <is>
          <t>NIQUEL-CADMIO</t>
        </is>
      </c>
      <c r="M5" s="4" t="inlineStr">
        <is>
          <t>GAZ</t>
        </is>
      </c>
      <c r="N5" s="4" t="inlineStr">
        <is>
          <t>KGM 1350P</t>
        </is>
      </c>
      <c r="O5" s="5" t="n">
        <v>3</v>
      </c>
      <c r="P5" s="5" t="n">
        <v>480</v>
      </c>
      <c r="Q5" s="4" t="inlineStr"/>
      <c r="R5" s="4" t="inlineStr"/>
      <c r="S5" s="8" t="n"/>
    </row>
    <row r="6">
      <c r="A6" s="4" t="inlineStr">
        <is>
          <t>1</t>
        </is>
      </c>
      <c r="B6" s="4" t="inlineStr">
        <is>
          <t>U-DE DESTILACIÓN COMBINADA (UDC2) TREN 2</t>
        </is>
      </c>
      <c r="C6" s="4" t="inlineStr">
        <is>
          <t>BB-SFI-12-SCD/TEL</t>
        </is>
      </c>
      <c r="D6" s="4" t="inlineStr">
        <is>
          <t>20939877</t>
        </is>
      </c>
      <c r="E6" s="8" t="n">
        <v>100</v>
      </c>
      <c r="F6" s="20" t="n">
        <v>1000</v>
      </c>
      <c r="G6" s="5" t="n">
        <v>0.5</v>
      </c>
      <c r="H6" s="5" t="n">
        <v>800</v>
      </c>
      <c r="I6" s="5" t="n">
        <v>125</v>
      </c>
      <c r="J6" s="5" t="n">
        <v>143</v>
      </c>
      <c r="K6" s="5" t="n">
        <v>100</v>
      </c>
      <c r="L6" s="4" t="inlineStr">
        <is>
          <t>NIQUEL-CADMIO</t>
        </is>
      </c>
      <c r="M6" s="4" t="inlineStr">
        <is>
          <t>GAZ</t>
        </is>
      </c>
      <c r="N6" s="4" t="inlineStr">
        <is>
          <t>KGM 1000P</t>
        </is>
      </c>
      <c r="O6" s="5" t="n">
        <v>3</v>
      </c>
      <c r="P6" s="5" t="n">
        <v>480</v>
      </c>
      <c r="Q6" s="4" t="inlineStr"/>
      <c r="R6" s="4" t="inlineStr"/>
      <c r="S6" s="8" t="n"/>
    </row>
    <row r="7">
      <c r="A7" s="4" t="inlineStr">
        <is>
          <t>1</t>
        </is>
      </c>
      <c r="B7" s="4" t="inlineStr">
        <is>
          <t>U-DE DESTILACIÓN COMBINADA (UDC2) TREN 2</t>
        </is>
      </c>
      <c r="C7" s="4" t="inlineStr">
        <is>
          <t>BB-SFI-12-SIS/F&amp;G</t>
        </is>
      </c>
      <c r="D7" s="4" t="inlineStr">
        <is>
          <t>20939878</t>
        </is>
      </c>
      <c r="E7" s="8" t="n">
        <v>80</v>
      </c>
      <c r="F7" s="20" t="n">
        <v>800</v>
      </c>
      <c r="G7" s="5" t="n">
        <v>0.5</v>
      </c>
      <c r="H7" s="5" t="n">
        <v>600</v>
      </c>
      <c r="I7" s="5" t="n">
        <v>125</v>
      </c>
      <c r="J7" s="5" t="n">
        <v>143</v>
      </c>
      <c r="K7" s="5" t="n">
        <v>100</v>
      </c>
      <c r="L7" s="4" t="inlineStr">
        <is>
          <t>NIQUEL-CADMIO</t>
        </is>
      </c>
      <c r="M7" s="4" t="inlineStr">
        <is>
          <t>GAZ</t>
        </is>
      </c>
      <c r="N7" s="4" t="inlineStr">
        <is>
          <t>KGM 800P</t>
        </is>
      </c>
      <c r="O7" s="5" t="n">
        <v>3</v>
      </c>
      <c r="P7" s="5" t="n">
        <v>480</v>
      </c>
      <c r="Q7" s="4" t="inlineStr"/>
      <c r="R7" s="4" t="inlineStr"/>
      <c r="S7" s="8" t="n"/>
    </row>
    <row r="8">
      <c r="A8" s="21" t="inlineStr">
        <is>
          <t>2</t>
        </is>
      </c>
      <c r="B8" s="21" t="inlineStr">
        <is>
          <t>U-DE COQUIZACIÓN RETARDADA</t>
        </is>
      </c>
      <c r="C8" s="21" t="inlineStr">
        <is>
          <t>BB-SFI-15-01</t>
        </is>
      </c>
      <c r="D8" s="21" t="inlineStr">
        <is>
          <t>21002323</t>
        </is>
      </c>
      <c r="E8" s="22" t="n"/>
      <c r="F8" s="23" t="n"/>
      <c r="G8" s="24" t="n"/>
      <c r="H8" s="24" t="n"/>
      <c r="I8" s="24" t="n"/>
      <c r="J8" s="24" t="n"/>
      <c r="K8" s="24" t="n"/>
      <c r="L8" s="21" t="inlineStr">
        <is>
          <t>NI-CAD</t>
        </is>
      </c>
      <c r="M8" s="21" t="inlineStr">
        <is>
          <t>ALCAD</t>
        </is>
      </c>
      <c r="N8" s="21" t="inlineStr">
        <is>
          <t>VTX IL 1030-1</t>
        </is>
      </c>
      <c r="O8" s="24" t="n">
        <v>3</v>
      </c>
      <c r="P8" s="24" t="n"/>
      <c r="Q8" s="21" t="inlineStr">
        <is>
          <t>Sin kVA en SAP; Sin Ah</t>
        </is>
      </c>
      <c r="R8" s="21" t="inlineStr"/>
      <c r="S8" s="22" t="n"/>
    </row>
    <row r="9">
      <c r="A9" s="21" t="inlineStr">
        <is>
          <t>2</t>
        </is>
      </c>
      <c r="B9" s="21" t="inlineStr">
        <is>
          <t>U-DE COQUIZACIÓN RETARDADA</t>
        </is>
      </c>
      <c r="C9" s="21" t="inlineStr">
        <is>
          <t>BB-SFI-15-02</t>
        </is>
      </c>
      <c r="D9" s="21" t="inlineStr">
        <is>
          <t>21002322</t>
        </is>
      </c>
      <c r="E9" s="22" t="n"/>
      <c r="F9" s="23" t="n"/>
      <c r="G9" s="24" t="n"/>
      <c r="H9" s="24" t="n"/>
      <c r="I9" s="24" t="n"/>
      <c r="J9" s="24" t="n"/>
      <c r="K9" s="24" t="n"/>
      <c r="L9" s="21" t="inlineStr">
        <is>
          <t>NI-CAD</t>
        </is>
      </c>
      <c r="M9" s="21" t="inlineStr">
        <is>
          <t>ALCAD</t>
        </is>
      </c>
      <c r="N9" s="21" t="inlineStr">
        <is>
          <t>VTX IM 1030-1</t>
        </is>
      </c>
      <c r="O9" s="24" t="n">
        <v>3</v>
      </c>
      <c r="P9" s="24" t="n"/>
      <c r="Q9" s="21" t="inlineStr">
        <is>
          <t>Sin kVA en SAP; Sin Ah</t>
        </is>
      </c>
      <c r="R9" s="21" t="inlineStr"/>
      <c r="S9" s="22" t="n"/>
    </row>
    <row r="10">
      <c r="A10" s="21" t="inlineStr">
        <is>
          <t>2</t>
        </is>
      </c>
      <c r="B10" s="21" t="inlineStr">
        <is>
          <t>U-DE COQUIZACIÓN RETARDADA</t>
        </is>
      </c>
      <c r="C10" s="21" t="inlineStr">
        <is>
          <t>BB-SFI-151-01</t>
        </is>
      </c>
      <c r="D10" s="21" t="inlineStr">
        <is>
          <t>21002321</t>
        </is>
      </c>
      <c r="E10" s="22" t="n"/>
      <c r="F10" s="23" t="n"/>
      <c r="G10" s="24" t="n"/>
      <c r="H10" s="24" t="n"/>
      <c r="I10" s="24" t="n"/>
      <c r="J10" s="24" t="n"/>
      <c r="K10" s="24" t="n"/>
      <c r="L10" s="21" t="inlineStr">
        <is>
          <t>NI-CAD</t>
        </is>
      </c>
      <c r="M10" s="21" t="inlineStr">
        <is>
          <t>ALCAD VANTEX</t>
        </is>
      </c>
      <c r="N10" s="21" t="inlineStr">
        <is>
          <t>ALCAD VTX IM 785-1</t>
        </is>
      </c>
      <c r="O10" s="24" t="n">
        <v>3</v>
      </c>
      <c r="P10" s="24" t="n"/>
      <c r="Q10" s="21" t="inlineStr">
        <is>
          <t>Sin kVA en SAP; Sin Ah</t>
        </is>
      </c>
      <c r="R10" s="21" t="inlineStr"/>
      <c r="S10" s="22" t="n"/>
    </row>
    <row r="11">
      <c r="A11" s="21" t="inlineStr">
        <is>
          <t>2</t>
        </is>
      </c>
      <c r="B11" s="21" t="inlineStr">
        <is>
          <t>U-DE COQUIZACIÓN RETARDADA</t>
        </is>
      </c>
      <c r="C11" s="21" t="inlineStr">
        <is>
          <t>BB-SFI-151-02</t>
        </is>
      </c>
      <c r="D11" s="21" t="inlineStr">
        <is>
          <t>21002324</t>
        </is>
      </c>
      <c r="E11" s="22" t="n"/>
      <c r="F11" s="23" t="n"/>
      <c r="G11" s="24" t="n"/>
      <c r="H11" s="24" t="n"/>
      <c r="I11" s="24" t="n"/>
      <c r="J11" s="24" t="n"/>
      <c r="K11" s="24" t="n"/>
      <c r="L11" s="21" t="inlineStr">
        <is>
          <t>NI-CAD</t>
        </is>
      </c>
      <c r="M11" s="21" t="inlineStr">
        <is>
          <t>ALCAD</t>
        </is>
      </c>
      <c r="N11" s="21" t="inlineStr">
        <is>
          <t>VTX IM 170-5</t>
        </is>
      </c>
      <c r="O11" s="24" t="n">
        <v>3</v>
      </c>
      <c r="P11" s="24" t="n"/>
      <c r="Q11" s="21" t="inlineStr">
        <is>
          <t>Sin kVA en SAP; Sin Ah</t>
        </is>
      </c>
      <c r="R11" s="21" t="inlineStr"/>
      <c r="S11" s="22" t="n"/>
    </row>
    <row r="12">
      <c r="A12" s="21" t="inlineStr">
        <is>
          <t>2</t>
        </is>
      </c>
      <c r="B12" s="21" t="inlineStr">
        <is>
          <t>U-DE COQUIZACIÓN RETARDADA</t>
        </is>
      </c>
      <c r="C12" s="21" t="inlineStr">
        <is>
          <t>BB-SFI-151-03</t>
        </is>
      </c>
      <c r="D12" s="21" t="inlineStr">
        <is>
          <t>21002325</t>
        </is>
      </c>
      <c r="E12" s="22" t="n"/>
      <c r="F12" s="23" t="n">
        <v>540</v>
      </c>
      <c r="G12" s="24" t="n"/>
      <c r="H12" s="24" t="n"/>
      <c r="I12" s="24" t="n"/>
      <c r="J12" s="24" t="n"/>
      <c r="K12" s="24" t="n"/>
      <c r="L12" s="21" t="inlineStr">
        <is>
          <t>NI-CAD</t>
        </is>
      </c>
      <c r="M12" s="21" t="inlineStr">
        <is>
          <t>ALCAD</t>
        </is>
      </c>
      <c r="N12" s="21" t="inlineStr">
        <is>
          <t>ALCAD VANTEX VTX IM 540-1</t>
        </is>
      </c>
      <c r="O12" s="24" t="n">
        <v>3</v>
      </c>
      <c r="P12" s="24" t="n"/>
      <c r="Q12" s="21" t="inlineStr">
        <is>
          <t>Sin kVA en SAP</t>
        </is>
      </c>
      <c r="R12" s="21" t="inlineStr"/>
      <c r="S12" s="22" t="n"/>
    </row>
    <row r="13">
      <c r="A13" s="21" t="inlineStr">
        <is>
          <t>2</t>
        </is>
      </c>
      <c r="B13" s="21" t="inlineStr">
        <is>
          <t>U-DE COQUIZACIÓN RETARDADA</t>
        </is>
      </c>
      <c r="C13" s="21" t="inlineStr">
        <is>
          <t>BB-SFI-151-04</t>
        </is>
      </c>
      <c r="D13" s="21" t="inlineStr">
        <is>
          <t>21002326</t>
        </is>
      </c>
      <c r="E13" s="22" t="n"/>
      <c r="F13" s="23" t="n">
        <v>785</v>
      </c>
      <c r="G13" s="24" t="n"/>
      <c r="H13" s="24" t="n"/>
      <c r="I13" s="24" t="n"/>
      <c r="J13" s="24" t="n"/>
      <c r="K13" s="24" t="n"/>
      <c r="L13" s="21" t="inlineStr">
        <is>
          <t>NI-CAD</t>
        </is>
      </c>
      <c r="M13" s="21" t="inlineStr">
        <is>
          <t>ALCAD</t>
        </is>
      </c>
      <c r="N13" s="21" t="inlineStr">
        <is>
          <t>ALCAD VTX IM 785-1</t>
        </is>
      </c>
      <c r="O13" s="24" t="n">
        <v>3</v>
      </c>
      <c r="P13" s="24" t="n"/>
      <c r="Q13" s="21" t="inlineStr">
        <is>
          <t>Sin kVA en SAP</t>
        </is>
      </c>
      <c r="R13" s="21" t="inlineStr"/>
      <c r="S13" s="22" t="n"/>
    </row>
    <row r="14">
      <c r="A14" s="21" t="inlineStr">
        <is>
          <t>2</t>
        </is>
      </c>
      <c r="B14" s="21" t="inlineStr">
        <is>
          <t>U-DE COQUIZACIÓN RETARDADA</t>
        </is>
      </c>
      <c r="C14" s="21" t="inlineStr">
        <is>
          <t>BB-SFI-CCS-SCD-TEL</t>
        </is>
      </c>
      <c r="D14" s="21" t="inlineStr">
        <is>
          <t>21002330</t>
        </is>
      </c>
      <c r="E14" s="22" t="n"/>
      <c r="F14" s="23" t="n">
        <v>490</v>
      </c>
      <c r="G14" s="24" t="n"/>
      <c r="H14" s="24" t="n"/>
      <c r="I14" s="24" t="n"/>
      <c r="J14" s="24" t="n"/>
      <c r="K14" s="24" t="n"/>
      <c r="L14" s="21" t="inlineStr">
        <is>
          <t>NI-CAD</t>
        </is>
      </c>
      <c r="M14" s="21" t="inlineStr">
        <is>
          <t>ALCAD</t>
        </is>
      </c>
      <c r="N14" s="21" t="inlineStr">
        <is>
          <t>VTX IM 490-1</t>
        </is>
      </c>
      <c r="O14" s="24" t="n">
        <v>3</v>
      </c>
      <c r="P14" s="24" t="n"/>
      <c r="Q14" s="21" t="inlineStr">
        <is>
          <t>Sin kVA en SAP</t>
        </is>
      </c>
      <c r="R14" s="21" t="inlineStr"/>
      <c r="S14" s="22" t="n"/>
    </row>
    <row r="15">
      <c r="A15" s="4" t="inlineStr">
        <is>
          <t>2</t>
        </is>
      </c>
      <c r="B15" s="4" t="inlineStr">
        <is>
          <t>U-DE COQUIZACIÓN RETARDADA</t>
        </is>
      </c>
      <c r="C15" s="4" t="inlineStr">
        <is>
          <t>BB-SFI-CCS-SIS/F&amp;G</t>
        </is>
      </c>
      <c r="D15" s="4" t="inlineStr">
        <is>
          <t>21002331</t>
        </is>
      </c>
      <c r="E15" s="8" t="n">
        <v>30</v>
      </c>
      <c r="F15" s="20" t="n">
        <v>420</v>
      </c>
      <c r="G15" s="5" t="n">
        <v>0.5</v>
      </c>
      <c r="H15" s="5" t="n">
        <v>256</v>
      </c>
      <c r="I15" s="5" t="n">
        <v>125</v>
      </c>
      <c r="J15" s="5" t="n">
        <v>135</v>
      </c>
      <c r="K15" s="5" t="n">
        <v>100</v>
      </c>
      <c r="L15" s="4" t="inlineStr">
        <is>
          <t>NIQUEL-CADMIO</t>
        </is>
      </c>
      <c r="M15" s="4" t="inlineStr">
        <is>
          <t>ALCAD</t>
        </is>
      </c>
      <c r="N15" s="4" t="inlineStr">
        <is>
          <t>VTX IM 420-3</t>
        </is>
      </c>
      <c r="O15" s="5" t="n">
        <v>3</v>
      </c>
      <c r="P15" s="5" t="n">
        <v>480</v>
      </c>
      <c r="Q15" s="4" t="inlineStr"/>
      <c r="R15" s="4" t="inlineStr"/>
      <c r="S15" s="8" t="n"/>
    </row>
    <row r="16">
      <c r="A16" s="4" t="inlineStr">
        <is>
          <t>3</t>
        </is>
      </c>
      <c r="B16" s="4" t="inlineStr">
        <is>
          <t>U-DE ALQUILACIÓN (ALKY1)</t>
        </is>
      </c>
      <c r="C16" s="4" t="inlineStr">
        <is>
          <t>BB-SFI-14-01</t>
        </is>
      </c>
      <c r="D16" s="4" t="inlineStr">
        <is>
          <t>20939938</t>
        </is>
      </c>
      <c r="E16" s="8" t="n">
        <v>43</v>
      </c>
      <c r="F16" s="20" t="n">
        <v>1230</v>
      </c>
      <c r="G16" s="5" t="n">
        <v>1.5</v>
      </c>
      <c r="H16" s="5" t="n">
        <v>150</v>
      </c>
      <c r="I16" s="5" t="n">
        <v>125</v>
      </c>
      <c r="J16" s="5" t="n">
        <v>1.4</v>
      </c>
      <c r="K16" s="5" t="n">
        <v>96</v>
      </c>
      <c r="L16" s="4" t="inlineStr">
        <is>
          <t>NIQUEL-CADMIO</t>
        </is>
      </c>
      <c r="M16" s="4" t="inlineStr">
        <is>
          <t>SAFT</t>
        </is>
      </c>
      <c r="N16" s="4" t="inlineStr">
        <is>
          <t>UP1M 1230-1</t>
        </is>
      </c>
      <c r="O16" s="5" t="n">
        <v>3</v>
      </c>
      <c r="P16" s="5" t="n">
        <v>480</v>
      </c>
      <c r="Q16" s="4" t="inlineStr">
        <is>
          <t>kVA no comercial: validar placa</t>
        </is>
      </c>
      <c r="R16" s="4" t="inlineStr"/>
      <c r="S16" s="8" t="n"/>
    </row>
    <row r="17">
      <c r="A17" s="4" t="inlineStr">
        <is>
          <t>3</t>
        </is>
      </c>
      <c r="B17" s="4" t="inlineStr">
        <is>
          <t>U-DE ALQUILACIÓN (ALKY1)</t>
        </is>
      </c>
      <c r="C17" s="4" t="inlineStr">
        <is>
          <t>BB-SFI-14-02</t>
        </is>
      </c>
      <c r="D17" s="4" t="inlineStr">
        <is>
          <t>20939939</t>
        </is>
      </c>
      <c r="E17" s="8" t="n">
        <v>41</v>
      </c>
      <c r="F17" s="20" t="n">
        <v>395</v>
      </c>
      <c r="G17" s="5" t="n">
        <v>1.5</v>
      </c>
      <c r="H17" s="5" t="n">
        <v>150</v>
      </c>
      <c r="I17" s="5" t="n">
        <v>127</v>
      </c>
      <c r="J17" s="5" t="n">
        <v>1.4</v>
      </c>
      <c r="K17" s="5" t="n">
        <v>96</v>
      </c>
      <c r="L17" s="4" t="inlineStr">
        <is>
          <t>NIQUEL-CADMIO</t>
        </is>
      </c>
      <c r="M17" s="4" t="inlineStr">
        <is>
          <t>SAFT</t>
        </is>
      </c>
      <c r="N17" s="4" t="inlineStr">
        <is>
          <t>UP1M 395-3</t>
        </is>
      </c>
      <c r="O17" s="5" t="n">
        <v>3</v>
      </c>
      <c r="P17" s="5" t="n">
        <v>480</v>
      </c>
      <c r="Q17" s="4" t="inlineStr">
        <is>
          <t>kVA no comercial: validar placa</t>
        </is>
      </c>
      <c r="R17" s="4" t="inlineStr"/>
      <c r="S17" s="8" t="n"/>
    </row>
    <row r="18">
      <c r="A18" s="4" t="inlineStr">
        <is>
          <t>3</t>
        </is>
      </c>
      <c r="B18" s="4" t="inlineStr">
        <is>
          <t>U-DE ALQUILACIÓN (ALKY1)</t>
        </is>
      </c>
      <c r="C18" s="4" t="inlineStr">
        <is>
          <t>BB-SFI-SAT-SCD/TEL-02</t>
        </is>
      </c>
      <c r="D18" s="4" t="inlineStr">
        <is>
          <t>20939933</t>
        </is>
      </c>
      <c r="E18" s="8" t="n">
        <v>60</v>
      </c>
      <c r="F18" s="20" t="n">
        <v>690</v>
      </c>
      <c r="G18" s="5" t="n">
        <v>0.5</v>
      </c>
      <c r="H18" s="5" t="n">
        <v>158</v>
      </c>
      <c r="I18" s="5" t="n">
        <v>125</v>
      </c>
      <c r="J18" s="5" t="n">
        <v>143</v>
      </c>
      <c r="K18" s="5" t="n">
        <v>100</v>
      </c>
      <c r="L18" s="4" t="inlineStr">
        <is>
          <t>NIQUEL-CADMIO</t>
        </is>
      </c>
      <c r="M18" s="4" t="inlineStr">
        <is>
          <t>SAFT</t>
        </is>
      </c>
      <c r="N18" s="4" t="inlineStr">
        <is>
          <t>UP1M 690-1</t>
        </is>
      </c>
      <c r="O18" s="5" t="n">
        <v>3</v>
      </c>
      <c r="P18" s="5" t="n">
        <v>480</v>
      </c>
      <c r="Q18" s="4" t="inlineStr"/>
      <c r="R18" s="4" t="inlineStr"/>
      <c r="S18" s="8" t="n"/>
    </row>
    <row r="19">
      <c r="A19" s="4" t="inlineStr">
        <is>
          <t>3</t>
        </is>
      </c>
      <c r="B19" s="4" t="inlineStr">
        <is>
          <t>U-DE ALQUILACIÓN (ALKY1)</t>
        </is>
      </c>
      <c r="C19" s="4" t="inlineStr">
        <is>
          <t>BB-SFI-SAT-SIS/F&amp;-G-02</t>
        </is>
      </c>
      <c r="D19" s="4" t="inlineStr">
        <is>
          <t>20939934</t>
        </is>
      </c>
      <c r="E19" s="8" t="n">
        <v>40</v>
      </c>
      <c r="F19" s="20" t="n">
        <v>490</v>
      </c>
      <c r="G19" s="5" t="n">
        <v>0.5</v>
      </c>
      <c r="H19" s="5" t="n">
        <v>105</v>
      </c>
      <c r="I19" s="5" t="n">
        <v>125</v>
      </c>
      <c r="J19" s="5" t="n">
        <v>141</v>
      </c>
      <c r="K19" s="5" t="n">
        <v>99</v>
      </c>
      <c r="L19" s="4" t="inlineStr">
        <is>
          <t>NIQUEL-CADMIO</t>
        </is>
      </c>
      <c r="M19" s="4" t="inlineStr">
        <is>
          <t>SAFT</t>
        </is>
      </c>
      <c r="N19" s="4" t="inlineStr">
        <is>
          <t>UP1M 490-1</t>
        </is>
      </c>
      <c r="O19" s="5" t="n">
        <v>3</v>
      </c>
      <c r="P19" s="5" t="n">
        <v>480</v>
      </c>
      <c r="Q19" s="4" t="inlineStr"/>
      <c r="R19" s="4" t="inlineStr"/>
      <c r="S19" s="8" t="n"/>
    </row>
    <row r="20">
      <c r="A20" s="4" t="inlineStr">
        <is>
          <t>4</t>
        </is>
      </c>
      <c r="B20" s="4" t="inlineStr">
        <is>
          <t>U-GENERADORA DE HIDRÓGENO (PH21) TREN 1</t>
        </is>
      </c>
      <c r="C20" s="4" t="inlineStr">
        <is>
          <t>BB-SFI-23-01</t>
        </is>
      </c>
      <c r="D20" s="4" t="inlineStr">
        <is>
          <t>20994505</t>
        </is>
      </c>
      <c r="E20" s="8" t="n">
        <v>50</v>
      </c>
      <c r="F20" s="20" t="n">
        <v>950</v>
      </c>
      <c r="G20" s="5" t="n">
        <v>5</v>
      </c>
      <c r="H20" s="5" t="n">
        <v>125</v>
      </c>
      <c r="I20" s="5" t="n">
        <v>220</v>
      </c>
      <c r="J20" s="5" t="n">
        <v>142</v>
      </c>
      <c r="K20" s="5" t="n">
        <v>100</v>
      </c>
      <c r="L20" s="4" t="inlineStr">
        <is>
          <t>NIQUEL-CADMIO</t>
        </is>
      </c>
      <c r="M20" s="4" t="inlineStr">
        <is>
          <t>GAZ</t>
        </is>
      </c>
      <c r="N20" s="4" t="inlineStr">
        <is>
          <t>KGM 950P</t>
        </is>
      </c>
      <c r="O20" s="5" t="n">
        <v>3</v>
      </c>
      <c r="P20" s="5" t="n">
        <v>480</v>
      </c>
      <c r="Q20" s="4" t="inlineStr"/>
      <c r="R20" s="4" t="inlineStr"/>
      <c r="S20" s="8" t="n"/>
    </row>
    <row r="21">
      <c r="A21" s="21" t="inlineStr">
        <is>
          <t>4</t>
        </is>
      </c>
      <c r="B21" s="21" t="inlineStr">
        <is>
          <t>U-GENERADORA DE HIDRÓGENO (PH21) TREN 1</t>
        </is>
      </c>
      <c r="C21" s="21" t="inlineStr">
        <is>
          <t>BB-SFI-CCS-F&amp;G/ESD</t>
        </is>
      </c>
      <c r="D21" s="21" t="inlineStr">
        <is>
          <t>20939989</t>
        </is>
      </c>
      <c r="E21" s="22" t="n"/>
      <c r="F21" s="23" t="n">
        <v>300</v>
      </c>
      <c r="G21" s="24" t="n">
        <v>0.5</v>
      </c>
      <c r="H21" s="24" t="n"/>
      <c r="I21" s="24" t="n">
        <v>125</v>
      </c>
      <c r="J21" s="24" t="n">
        <v>145</v>
      </c>
      <c r="K21" s="24" t="n">
        <v>100</v>
      </c>
      <c r="L21" s="21" t="inlineStr">
        <is>
          <t>NI-CD</t>
        </is>
      </c>
      <c r="M21" s="21" t="inlineStr">
        <is>
          <t>GAZ</t>
        </is>
      </c>
      <c r="N21" s="21" t="inlineStr">
        <is>
          <t>KGM300P</t>
        </is>
      </c>
      <c r="O21" s="24" t="n">
        <v>3</v>
      </c>
      <c r="P21" s="24" t="n">
        <v>480</v>
      </c>
      <c r="Q21" s="21" t="inlineStr">
        <is>
          <t>Sin kVA en SAP</t>
        </is>
      </c>
      <c r="R21" s="21" t="inlineStr"/>
      <c r="S21" s="22" t="n"/>
    </row>
    <row r="22">
      <c r="A22" s="21" t="inlineStr">
        <is>
          <t>4</t>
        </is>
      </c>
      <c r="B22" s="21" t="inlineStr">
        <is>
          <t>U-GENERADORA DE HIDRÓGENO (PH21) TREN 1</t>
        </is>
      </c>
      <c r="C22" s="21" t="inlineStr">
        <is>
          <t>BB-SFI-CCS-SCD/TEL-S04</t>
        </is>
      </c>
      <c r="D22" s="21" t="inlineStr">
        <is>
          <t>20939990</t>
        </is>
      </c>
      <c r="E22" s="22" t="n"/>
      <c r="F22" s="23" t="n">
        <v>380</v>
      </c>
      <c r="G22" s="24" t="n">
        <v>0.5</v>
      </c>
      <c r="H22" s="24" t="n"/>
      <c r="I22" s="24" t="n">
        <v>125</v>
      </c>
      <c r="J22" s="24" t="n">
        <v>145</v>
      </c>
      <c r="K22" s="24" t="n">
        <v>100</v>
      </c>
      <c r="L22" s="21" t="inlineStr">
        <is>
          <t>NI-CD</t>
        </is>
      </c>
      <c r="M22" s="21" t="inlineStr">
        <is>
          <t>GAZ</t>
        </is>
      </c>
      <c r="N22" s="21" t="inlineStr">
        <is>
          <t>KGM380P</t>
        </is>
      </c>
      <c r="O22" s="24" t="n">
        <v>3</v>
      </c>
      <c r="P22" s="24" t="n">
        <v>480</v>
      </c>
      <c r="Q22" s="21" t="inlineStr">
        <is>
          <t>Sin kVA en SAP</t>
        </is>
      </c>
      <c r="R22" s="21" t="inlineStr"/>
      <c r="S22" s="22" t="n"/>
    </row>
    <row r="23">
      <c r="A23" s="21" t="inlineStr">
        <is>
          <t>5</t>
        </is>
      </c>
      <c r="B23" s="21" t="inlineStr">
        <is>
          <t>U-ISOMERIZADORA PENTANOS/HEXANOS (PNX1)</t>
        </is>
      </c>
      <c r="C23" s="21" t="inlineStr">
        <is>
          <t>BB-SFI SATSIS/F&amp;G-01</t>
        </is>
      </c>
      <c r="D23" s="21" t="inlineStr">
        <is>
          <t>20940003</t>
        </is>
      </c>
      <c r="E23" s="22" t="n"/>
      <c r="F23" s="23" t="n">
        <v>245</v>
      </c>
      <c r="G23" s="24" t="n">
        <v>5</v>
      </c>
      <c r="H23" s="24" t="n">
        <v>160</v>
      </c>
      <c r="I23" s="24" t="n">
        <v>125</v>
      </c>
      <c r="J23" s="24" t="n">
        <v>141</v>
      </c>
      <c r="K23" s="24" t="n">
        <v>99</v>
      </c>
      <c r="L23" s="21" t="inlineStr">
        <is>
          <t>NIQUEL-CADMIO</t>
        </is>
      </c>
      <c r="M23" s="21" t="inlineStr">
        <is>
          <t>SAFT</t>
        </is>
      </c>
      <c r="N23" s="21" t="inlineStr">
        <is>
          <t>UP1M.245-2</t>
        </is>
      </c>
      <c r="O23" s="24" t="n">
        <v>3</v>
      </c>
      <c r="P23" s="24" t="n">
        <v>480</v>
      </c>
      <c r="Q23" s="21" t="inlineStr">
        <is>
          <t>Sin kVA en SAP</t>
        </is>
      </c>
      <c r="R23" s="21" t="inlineStr"/>
      <c r="S23" s="22" t="n"/>
    </row>
    <row r="24">
      <c r="A24" s="21" t="inlineStr">
        <is>
          <t>5</t>
        </is>
      </c>
      <c r="B24" s="21" t="inlineStr">
        <is>
          <t>U-ISOMERIZADORA PENTANOS/HEXANOS (PNX1)</t>
        </is>
      </c>
      <c r="C24" s="21" t="inlineStr">
        <is>
          <t>BB-SFI06-01</t>
        </is>
      </c>
      <c r="D24" s="21" t="inlineStr">
        <is>
          <t>20940002</t>
        </is>
      </c>
      <c r="E24" s="22" t="n"/>
      <c r="F24" s="23" t="n">
        <v>785</v>
      </c>
      <c r="G24" s="24" t="n">
        <v>5</v>
      </c>
      <c r="H24" s="24" t="n">
        <v>160</v>
      </c>
      <c r="I24" s="24" t="n">
        <v>125</v>
      </c>
      <c r="J24" s="24" t="n">
        <v>143</v>
      </c>
      <c r="K24" s="24" t="n">
        <v>100</v>
      </c>
      <c r="L24" s="21" t="inlineStr">
        <is>
          <t>NIQUEL-CADMIO</t>
        </is>
      </c>
      <c r="M24" s="21" t="inlineStr">
        <is>
          <t>SAFT</t>
        </is>
      </c>
      <c r="N24" s="21" t="inlineStr">
        <is>
          <t>UPM-785</t>
        </is>
      </c>
      <c r="O24" s="24" t="n">
        <v>3</v>
      </c>
      <c r="P24" s="24" t="n">
        <v>480</v>
      </c>
      <c r="Q24" s="21" t="inlineStr">
        <is>
          <t>Sin kVA en SAP</t>
        </is>
      </c>
      <c r="R24" s="21" t="inlineStr"/>
      <c r="S24" s="22" t="n"/>
    </row>
    <row r="25">
      <c r="A25" s="21" t="inlineStr">
        <is>
          <t>5</t>
        </is>
      </c>
      <c r="B25" s="21" t="inlineStr">
        <is>
          <t>U-TRATAMIENTO/RECUPERACIÓN GAS (PTRG1)</t>
        </is>
      </c>
      <c r="C25" s="21" t="inlineStr">
        <is>
          <t>BB SFI-05-01</t>
        </is>
      </c>
      <c r="D25" s="21" t="inlineStr">
        <is>
          <t>20939998</t>
        </is>
      </c>
      <c r="E25" s="22" t="n"/>
      <c r="F25" s="23" t="n">
        <v>550</v>
      </c>
      <c r="G25" s="24" t="n">
        <v>1.5</v>
      </c>
      <c r="H25" s="24" t="n">
        <v>160</v>
      </c>
      <c r="I25" s="24" t="n">
        <v>125</v>
      </c>
      <c r="J25" s="24" t="n">
        <v>140</v>
      </c>
      <c r="K25" s="24" t="n">
        <v>94</v>
      </c>
      <c r="L25" s="21" t="inlineStr">
        <is>
          <t>NIQUEL-CADMIO</t>
        </is>
      </c>
      <c r="M25" s="21" t="inlineStr">
        <is>
          <t>SAFT</t>
        </is>
      </c>
      <c r="N25" s="21" t="inlineStr">
        <is>
          <t>VGM 550</t>
        </is>
      </c>
      <c r="O25" s="24" t="n">
        <v>3</v>
      </c>
      <c r="P25" s="24" t="n">
        <v>480</v>
      </c>
      <c r="Q25" s="21" t="inlineStr">
        <is>
          <t>Sin kVA en SAP</t>
        </is>
      </c>
      <c r="R25" s="21" t="inlineStr"/>
      <c r="S25" s="22" t="n"/>
    </row>
    <row r="26">
      <c r="A26" s="21" t="inlineStr">
        <is>
          <t>5</t>
        </is>
      </c>
      <c r="B26" s="21" t="inlineStr">
        <is>
          <t>U-TRATAMIENTO/RECUPERACIÓN GAS (PTRG1)</t>
        </is>
      </c>
      <c r="C26" s="21" t="inlineStr">
        <is>
          <t>BBSFI-CCS-ESD/F&amp;G</t>
        </is>
      </c>
      <c r="D26" s="21" t="inlineStr">
        <is>
          <t>20994321</t>
        </is>
      </c>
      <c r="E26" s="22" t="n"/>
      <c r="F26" s="23" t="n"/>
      <c r="G26" s="24" t="n">
        <v>0.5</v>
      </c>
      <c r="H26" s="24" t="n"/>
      <c r="I26" s="24" t="n">
        <v>125</v>
      </c>
      <c r="J26" s="24" t="n"/>
      <c r="K26" s="24" t="n">
        <v>187</v>
      </c>
      <c r="L26" s="21" t="inlineStr">
        <is>
          <t>NIQUEL-CADMIO</t>
        </is>
      </c>
      <c r="M26" s="21" t="inlineStr">
        <is>
          <t>VGM</t>
        </is>
      </c>
      <c r="N26" s="21" t="inlineStr">
        <is>
          <t>VGM 250</t>
        </is>
      </c>
      <c r="O26" s="24" t="n">
        <v>3</v>
      </c>
      <c r="P26" s="24" t="n"/>
      <c r="Q26" s="21" t="inlineStr">
        <is>
          <t>Sin kVA en SAP; Sin Ah</t>
        </is>
      </c>
      <c r="R26" s="21" t="inlineStr"/>
      <c r="S26" s="22" t="n"/>
    </row>
    <row r="27">
      <c r="A27" s="21" t="inlineStr">
        <is>
          <t>5</t>
        </is>
      </c>
      <c r="B27" s="21" t="inlineStr">
        <is>
          <t>U-TRATAMIENTO/RECUPERACIÓN GAS (PTRG1)</t>
        </is>
      </c>
      <c r="C27" s="21" t="inlineStr">
        <is>
          <t>BBSFI-CCS-SCD/TEL</t>
        </is>
      </c>
      <c r="D27" s="21" t="inlineStr">
        <is>
          <t>20994320</t>
        </is>
      </c>
      <c r="E27" s="22" t="n"/>
      <c r="F27" s="23" t="n"/>
      <c r="G27" s="24" t="n">
        <v>0.5</v>
      </c>
      <c r="H27" s="24" t="n"/>
      <c r="I27" s="24" t="n">
        <v>125</v>
      </c>
      <c r="J27" s="24" t="n"/>
      <c r="K27" s="24" t="n">
        <v>187</v>
      </c>
      <c r="L27" s="21" t="inlineStr">
        <is>
          <t>NIQUEL-CADMIO</t>
        </is>
      </c>
      <c r="M27" s="21" t="inlineStr">
        <is>
          <t>VGM</t>
        </is>
      </c>
      <c r="N27" s="21" t="inlineStr">
        <is>
          <t>VGM 355</t>
        </is>
      </c>
      <c r="O27" s="24" t="n">
        <v>3</v>
      </c>
      <c r="P27" s="24" t="n"/>
      <c r="Q27" s="21" t="inlineStr">
        <is>
          <t>Sin kVA en SAP; Sin Ah</t>
        </is>
      </c>
      <c r="R27" s="21" t="inlineStr"/>
      <c r="S27" s="22" t="n"/>
    </row>
    <row r="28">
      <c r="A28" s="4" t="inlineStr">
        <is>
          <t>6</t>
        </is>
      </c>
      <c r="B28" s="4" t="inlineStr">
        <is>
          <t>BUNKER</t>
        </is>
      </c>
      <c r="C28" s="4" t="inlineStr">
        <is>
          <t>BB-CCC-10</t>
        </is>
      </c>
      <c r="D28" s="4" t="inlineStr">
        <is>
          <t>20940226</t>
        </is>
      </c>
      <c r="E28" s="8" t="n">
        <v>20</v>
      </c>
      <c r="F28" s="20" t="n">
        <v>540</v>
      </c>
      <c r="G28" s="5" t="n">
        <v>2</v>
      </c>
      <c r="H28" s="5" t="n">
        <v>53</v>
      </c>
      <c r="I28" s="5" t="n">
        <v>125</v>
      </c>
      <c r="J28" s="5" t="n">
        <v>140</v>
      </c>
      <c r="K28" s="5" t="n">
        <v>100</v>
      </c>
      <c r="L28" s="4" t="inlineStr">
        <is>
          <t>NIQUEL-CADMIO</t>
        </is>
      </c>
      <c r="M28" s="4" t="inlineStr">
        <is>
          <t>ALCAD VANTEX</t>
        </is>
      </c>
      <c r="N28" s="4" t="inlineStr">
        <is>
          <t>VTX 1M 540 – 1</t>
        </is>
      </c>
      <c r="O28" s="5" t="n">
        <v>3</v>
      </c>
      <c r="P28" s="5" t="n">
        <v>480</v>
      </c>
      <c r="Q28" s="4" t="inlineStr"/>
      <c r="R28" s="4" t="inlineStr"/>
      <c r="S28" s="8" t="n"/>
    </row>
    <row r="29">
      <c r="A29" s="4" t="inlineStr">
        <is>
          <t>6</t>
        </is>
      </c>
      <c r="B29" s="4" t="inlineStr">
        <is>
          <t>BUNKER</t>
        </is>
      </c>
      <c r="C29" s="4" t="inlineStr">
        <is>
          <t>BB-CCC-15</t>
        </is>
      </c>
      <c r="D29" s="4" t="inlineStr">
        <is>
          <t>20940231</t>
        </is>
      </c>
      <c r="E29" s="8" t="n">
        <v>5</v>
      </c>
      <c r="F29" s="20" t="n">
        <v>150</v>
      </c>
      <c r="G29" s="5" t="n">
        <v>2</v>
      </c>
      <c r="H29" s="5" t="n">
        <v>42</v>
      </c>
      <c r="I29" s="5" t="n">
        <v>125</v>
      </c>
      <c r="J29" s="5" t="n">
        <v>140</v>
      </c>
      <c r="K29" s="5" t="n">
        <v>100</v>
      </c>
      <c r="L29" s="4" t="inlineStr">
        <is>
          <t>NIQUEL-CADMIO</t>
        </is>
      </c>
      <c r="M29" s="4" t="inlineStr">
        <is>
          <t>ALCAD VANTEX</t>
        </is>
      </c>
      <c r="N29" s="4" t="inlineStr">
        <is>
          <t>VTX 1M 150 – 5</t>
        </is>
      </c>
      <c r="O29" s="5" t="n">
        <v>3</v>
      </c>
      <c r="P29" s="5" t="n">
        <v>480</v>
      </c>
      <c r="Q29" s="4" t="inlineStr"/>
      <c r="R29" s="4" t="inlineStr"/>
      <c r="S29" s="8" t="n"/>
    </row>
    <row r="30">
      <c r="A30" s="4" t="inlineStr">
        <is>
          <t>6</t>
        </is>
      </c>
      <c r="B30" s="4" t="inlineStr">
        <is>
          <t>BUNKER</t>
        </is>
      </c>
      <c r="C30" s="4" t="inlineStr">
        <is>
          <t>BB-CCC-16</t>
        </is>
      </c>
      <c r="D30" s="4" t="inlineStr">
        <is>
          <t>20940232</t>
        </is>
      </c>
      <c r="E30" s="8" t="n">
        <v>20</v>
      </c>
      <c r="F30" s="20" t="n">
        <v>540</v>
      </c>
      <c r="G30" s="5" t="n">
        <v>2</v>
      </c>
      <c r="H30" s="5" t="n">
        <v>53</v>
      </c>
      <c r="I30" s="5" t="n">
        <v>125</v>
      </c>
      <c r="J30" s="5" t="n">
        <v>140</v>
      </c>
      <c r="K30" s="5" t="n">
        <v>100</v>
      </c>
      <c r="L30" s="4" t="inlineStr">
        <is>
          <t>NIQUEL-CADMIO</t>
        </is>
      </c>
      <c r="M30" s="4" t="inlineStr">
        <is>
          <t>ALCAD VANTEX</t>
        </is>
      </c>
      <c r="N30" s="4" t="inlineStr">
        <is>
          <t>VTX 1M 540 – 1</t>
        </is>
      </c>
      <c r="O30" s="5" t="n">
        <v>3</v>
      </c>
      <c r="P30" s="5" t="n">
        <v>480</v>
      </c>
      <c r="Q30" s="4" t="inlineStr"/>
      <c r="R30" s="4" t="inlineStr"/>
      <c r="S30" s="8" t="n"/>
    </row>
    <row r="31">
      <c r="A31" s="4" t="inlineStr">
        <is>
          <t>6</t>
        </is>
      </c>
      <c r="B31" s="4" t="inlineStr">
        <is>
          <t>BUNKER</t>
        </is>
      </c>
      <c r="C31" s="4" t="inlineStr">
        <is>
          <t>BB-CCC-17 SECT</t>
        </is>
      </c>
      <c r="D31" s="4" t="inlineStr">
        <is>
          <t>20940233</t>
        </is>
      </c>
      <c r="E31" s="8" t="n">
        <v>20</v>
      </c>
      <c r="F31" s="20" t="n">
        <v>540</v>
      </c>
      <c r="G31" s="5" t="n">
        <v>2</v>
      </c>
      <c r="H31" s="5" t="n">
        <v>53</v>
      </c>
      <c r="I31" s="5" t="n">
        <v>125</v>
      </c>
      <c r="J31" s="5" t="n">
        <v>140</v>
      </c>
      <c r="K31" s="5" t="n">
        <v>100</v>
      </c>
      <c r="L31" s="4" t="inlineStr">
        <is>
          <t>NIQUEL-CADMIO</t>
        </is>
      </c>
      <c r="M31" s="4" t="inlineStr">
        <is>
          <t>ALCAD VANTEX</t>
        </is>
      </c>
      <c r="N31" s="4" t="inlineStr">
        <is>
          <t>VTX 1M 540 – 1</t>
        </is>
      </c>
      <c r="O31" s="5" t="n">
        <v>3</v>
      </c>
      <c r="P31" s="5" t="n">
        <v>480</v>
      </c>
      <c r="Q31" s="4" t="inlineStr"/>
      <c r="R31" s="4" t="inlineStr"/>
      <c r="S31" s="8" t="n"/>
    </row>
    <row r="32">
      <c r="A32" s="4" t="inlineStr">
        <is>
          <t>6</t>
        </is>
      </c>
      <c r="B32" s="4" t="inlineStr">
        <is>
          <t>BUNKER</t>
        </is>
      </c>
      <c r="C32" s="4" t="inlineStr">
        <is>
          <t>BB-CCC-18 TELE</t>
        </is>
      </c>
      <c r="D32" s="4" t="inlineStr">
        <is>
          <t>20940234</t>
        </is>
      </c>
      <c r="E32" s="8" t="n">
        <v>100</v>
      </c>
      <c r="F32" s="20" t="n">
        <v>1380</v>
      </c>
      <c r="G32" s="5" t="n">
        <v>2</v>
      </c>
      <c r="H32" s="5" t="n">
        <v>263</v>
      </c>
      <c r="I32" s="5" t="n">
        <v>125</v>
      </c>
      <c r="J32" s="5" t="n">
        <v>140</v>
      </c>
      <c r="K32" s="5" t="n">
        <v>182</v>
      </c>
      <c r="L32" s="4" t="inlineStr">
        <is>
          <t>NIQUEL-CADMIO</t>
        </is>
      </c>
      <c r="M32" s="4" t="inlineStr">
        <is>
          <t>ALCAD VANTEX</t>
        </is>
      </c>
      <c r="N32" s="4" t="inlineStr">
        <is>
          <t>VTX 1M 1380 - 1</t>
        </is>
      </c>
      <c r="O32" s="5" t="n">
        <v>3</v>
      </c>
      <c r="P32" s="5" t="n">
        <v>480</v>
      </c>
      <c r="Q32" s="4" t="inlineStr"/>
      <c r="R32" s="4" t="inlineStr"/>
      <c r="S32" s="8" t="n"/>
    </row>
    <row r="33">
      <c r="A33" s="4" t="inlineStr">
        <is>
          <t>6</t>
        </is>
      </c>
      <c r="B33" s="4" t="inlineStr">
        <is>
          <t>BUNKER</t>
        </is>
      </c>
      <c r="C33" s="4" t="inlineStr">
        <is>
          <t>BB-CCC-19 ALUM</t>
        </is>
      </c>
      <c r="D33" s="4" t="inlineStr">
        <is>
          <t>20940235</t>
        </is>
      </c>
      <c r="E33" s="8" t="n">
        <v>30</v>
      </c>
      <c r="F33" s="20" t="n">
        <v>640</v>
      </c>
      <c r="G33" s="5" t="n">
        <v>1.5</v>
      </c>
      <c r="H33" s="5" t="n">
        <v>79</v>
      </c>
      <c r="I33" s="5" t="n">
        <v>125</v>
      </c>
      <c r="J33" s="5" t="n">
        <v>140</v>
      </c>
      <c r="K33" s="5" t="n">
        <v>100</v>
      </c>
      <c r="L33" s="4" t="inlineStr">
        <is>
          <t>NIQUEL-CADMIO</t>
        </is>
      </c>
      <c r="M33" s="4" t="inlineStr">
        <is>
          <t>ALCAD VANTEX</t>
        </is>
      </c>
      <c r="N33" s="4" t="inlineStr">
        <is>
          <t>VTX 1M 640 – 1</t>
        </is>
      </c>
      <c r="O33" s="5" t="n">
        <v>3</v>
      </c>
      <c r="P33" s="5" t="n">
        <v>480</v>
      </c>
      <c r="Q33" s="4" t="inlineStr"/>
      <c r="R33" s="4" t="inlineStr"/>
      <c r="S33" s="8" t="n"/>
    </row>
    <row r="34">
      <c r="A34" s="4" t="inlineStr">
        <is>
          <t>6</t>
        </is>
      </c>
      <c r="B34" s="4" t="inlineStr">
        <is>
          <t>EDIFICIO ADMINISTRATIVO SUR</t>
        </is>
      </c>
      <c r="C34" s="4" t="inlineStr">
        <is>
          <t>BBSFI-29-01</t>
        </is>
      </c>
      <c r="D34" s="4" t="inlineStr">
        <is>
          <t>20940210</t>
        </is>
      </c>
      <c r="E34" s="8" t="n">
        <v>7.5</v>
      </c>
      <c r="F34" s="20" t="n">
        <v>140</v>
      </c>
      <c r="G34" s="5" t="n">
        <v>0.5</v>
      </c>
      <c r="H34" s="5" t="n">
        <v>151</v>
      </c>
      <c r="I34" s="5" t="n">
        <v>125</v>
      </c>
      <c r="J34" s="5" t="n">
        <v>135</v>
      </c>
      <c r="K34" s="5" t="n">
        <v>100</v>
      </c>
      <c r="L34" s="4" t="inlineStr">
        <is>
          <t>NIQUEL-CADMIO</t>
        </is>
      </c>
      <c r="M34" s="4" t="inlineStr">
        <is>
          <t>POWER SAFE ENERSYS</t>
        </is>
      </c>
      <c r="N34" s="4" t="inlineStr">
        <is>
          <t>VGM 140</t>
        </is>
      </c>
      <c r="O34" s="5" t="n">
        <v>3</v>
      </c>
      <c r="P34" s="5" t="n">
        <v>480</v>
      </c>
      <c r="Q34" s="4" t="inlineStr"/>
      <c r="R34" s="4" t="inlineStr"/>
      <c r="S34" s="8" t="n"/>
    </row>
    <row r="35">
      <c r="A35" s="4" t="inlineStr">
        <is>
          <t>6</t>
        </is>
      </c>
      <c r="B35" s="4" t="inlineStr">
        <is>
          <t>EDIFICIO ADMINISTRATIVO SUR</t>
        </is>
      </c>
      <c r="C35" s="4" t="inlineStr">
        <is>
          <t>BBSFI-29-TEL/F&amp;G</t>
        </is>
      </c>
      <c r="D35" s="4" t="inlineStr">
        <is>
          <t>20940211</t>
        </is>
      </c>
      <c r="E35" s="8" t="n">
        <v>15</v>
      </c>
      <c r="F35" s="20" t="n">
        <v>185</v>
      </c>
      <c r="G35" s="5" t="n">
        <v>0.5</v>
      </c>
      <c r="H35" s="5" t="n">
        <v>151</v>
      </c>
      <c r="I35" s="5" t="n">
        <v>125</v>
      </c>
      <c r="J35" s="5" t="n">
        <v>135</v>
      </c>
      <c r="K35" s="5" t="n">
        <v>100</v>
      </c>
      <c r="L35" s="4" t="inlineStr">
        <is>
          <t>NIQUEL-CADMIO</t>
        </is>
      </c>
      <c r="M35" s="4" t="inlineStr">
        <is>
          <t>POWER SAFE ENERSYS</t>
        </is>
      </c>
      <c r="N35" s="4" t="inlineStr">
        <is>
          <t>VGM 185</t>
        </is>
      </c>
      <c r="O35" s="5" t="n">
        <v>3</v>
      </c>
      <c r="P35" s="5" t="n">
        <v>480</v>
      </c>
      <c r="Q35" s="4" t="inlineStr"/>
      <c r="R35" s="4" t="inlineStr"/>
      <c r="S35" s="8" t="n"/>
    </row>
    <row r="36">
      <c r="A36" s="4" t="inlineStr">
        <is>
          <t>6</t>
        </is>
      </c>
      <c r="B36" s="4" t="inlineStr">
        <is>
          <t>LABORATORIO QUIMICO</t>
        </is>
      </c>
      <c r="C36" s="4" t="inlineStr">
        <is>
          <t>BB-SFI-113-01</t>
        </is>
      </c>
      <c r="D36" s="4" t="inlineStr">
        <is>
          <t>20994542</t>
        </is>
      </c>
      <c r="E36" s="8" t="n">
        <v>15</v>
      </c>
      <c r="F36" s="20" t="n">
        <v>320</v>
      </c>
      <c r="G36" s="5" t="n">
        <v>5</v>
      </c>
      <c r="H36" s="5" t="n">
        <v>64</v>
      </c>
      <c r="I36" s="5" t="n">
        <v>125</v>
      </c>
      <c r="J36" s="5" t="n">
        <v>142</v>
      </c>
      <c r="K36" s="5" t="n">
        <v>100</v>
      </c>
      <c r="L36" s="4" t="inlineStr">
        <is>
          <t>NIQUEL-CADMIO</t>
        </is>
      </c>
      <c r="M36" s="4" t="n"/>
      <c r="N36" s="4" t="inlineStr">
        <is>
          <t>VTX 1M320-2/VTX 1M320-2</t>
        </is>
      </c>
      <c r="O36" s="5" t="n">
        <v>3</v>
      </c>
      <c r="P36" s="5" t="n">
        <v>480</v>
      </c>
      <c r="Q36" s="4" t="inlineStr"/>
      <c r="R36" s="4" t="inlineStr"/>
      <c r="S36" s="8" t="n"/>
    </row>
    <row r="37">
      <c r="A37" s="4" t="inlineStr">
        <is>
          <t>6</t>
        </is>
      </c>
      <c r="B37" s="4" t="inlineStr">
        <is>
          <t>LABORATORIO QUIMICO</t>
        </is>
      </c>
      <c r="C37" s="4" t="inlineStr">
        <is>
          <t>BB-SFI-113-02</t>
        </is>
      </c>
      <c r="D37" s="4" t="inlineStr">
        <is>
          <t>20994543</t>
        </is>
      </c>
      <c r="E37" s="8" t="n">
        <v>10</v>
      </c>
      <c r="F37" s="20" t="n">
        <v>150</v>
      </c>
      <c r="G37" s="5" t="n">
        <v>5</v>
      </c>
      <c r="H37" s="5" t="n">
        <v>30</v>
      </c>
      <c r="I37" s="5" t="n">
        <v>125</v>
      </c>
      <c r="J37" s="5" t="n">
        <v>137.7</v>
      </c>
      <c r="K37" s="5" t="n">
        <v>97</v>
      </c>
      <c r="L37" s="4" t="inlineStr">
        <is>
          <t>NIQUEL-CADMIO</t>
        </is>
      </c>
      <c r="M37" s="4" t="n"/>
      <c r="N37" s="4" t="inlineStr">
        <is>
          <t>VTX 1M150-6/150-5/150-4</t>
        </is>
      </c>
      <c r="O37" s="5" t="n">
        <v>3</v>
      </c>
      <c r="P37" s="5" t="n">
        <v>480</v>
      </c>
      <c r="Q37" s="4" t="inlineStr"/>
      <c r="R37" s="4" t="inlineStr"/>
      <c r="S37" s="8" t="n"/>
    </row>
    <row r="38">
      <c r="A38" s="4" t="inlineStr">
        <is>
          <t>6</t>
        </is>
      </c>
      <c r="B38" s="4" t="inlineStr">
        <is>
          <t>PLANTA DE TTO DE AGUAS AMARGAS COMUN</t>
        </is>
      </c>
      <c r="C38" s="4" t="inlineStr">
        <is>
          <t>BB-SFI-08-AL-01</t>
        </is>
      </c>
      <c r="D38" s="4" t="inlineStr">
        <is>
          <t>20940179</t>
        </is>
      </c>
      <c r="E38" s="8" t="n">
        <v>25</v>
      </c>
      <c r="F38" s="20" t="n">
        <v>445</v>
      </c>
      <c r="G38" s="5" t="n">
        <v>1.5</v>
      </c>
      <c r="H38" s="5" t="n">
        <v>413</v>
      </c>
      <c r="I38" s="5" t="n">
        <v>125</v>
      </c>
      <c r="J38" s="5" t="n">
        <v>135</v>
      </c>
      <c r="K38" s="5" t="n">
        <v>100</v>
      </c>
      <c r="L38" s="4" t="inlineStr">
        <is>
          <t>NIQUEL-CADMIO</t>
        </is>
      </c>
      <c r="M38" s="4" t="inlineStr">
        <is>
          <t>SAFT NIFE</t>
        </is>
      </c>
      <c r="N38" s="4" t="inlineStr">
        <is>
          <t>UP1M 445-2</t>
        </is>
      </c>
      <c r="O38" s="5" t="n">
        <v>3</v>
      </c>
      <c r="P38" s="5" t="n">
        <v>480</v>
      </c>
      <c r="Q38" s="4" t="inlineStr"/>
      <c r="R38" s="4" t="inlineStr"/>
      <c r="S38" s="8" t="n"/>
    </row>
    <row r="39">
      <c r="A39" s="4" t="inlineStr">
        <is>
          <t>6</t>
        </is>
      </c>
      <c r="B39" s="4" t="inlineStr">
        <is>
          <t>PLANTA DE TTO DE AGUAS AMARGAS COMUN</t>
        </is>
      </c>
      <c r="C39" s="4" t="inlineStr">
        <is>
          <t>BB-SFI-CCS-SCD/TEL-S06</t>
        </is>
      </c>
      <c r="D39" s="4" t="inlineStr">
        <is>
          <t>20940166</t>
        </is>
      </c>
      <c r="E39" s="8" t="n">
        <v>40</v>
      </c>
      <c r="F39" s="20" t="n">
        <v>420</v>
      </c>
      <c r="G39" s="5" t="n">
        <v>0.5</v>
      </c>
      <c r="H39" s="5" t="n">
        <v>341</v>
      </c>
      <c r="I39" s="5" t="n">
        <v>125</v>
      </c>
      <c r="J39" s="5" t="n">
        <v>135</v>
      </c>
      <c r="K39" s="5" t="n">
        <v>100</v>
      </c>
      <c r="L39" s="4" t="inlineStr">
        <is>
          <t>NIQUEL-CADMIO</t>
        </is>
      </c>
      <c r="M39" s="4" t="inlineStr">
        <is>
          <t>SAFT NIFE</t>
        </is>
      </c>
      <c r="N39" s="4" t="inlineStr">
        <is>
          <t>UP1M 420-2</t>
        </is>
      </c>
      <c r="O39" s="5" t="n">
        <v>3</v>
      </c>
      <c r="P39" s="5" t="n">
        <v>480</v>
      </c>
      <c r="Q39" s="4" t="inlineStr"/>
      <c r="R39" s="4" t="inlineStr"/>
      <c r="S39" s="8" t="n"/>
    </row>
    <row r="40">
      <c r="A40" s="4" t="inlineStr">
        <is>
          <t>6</t>
        </is>
      </c>
      <c r="B40" s="4" t="inlineStr">
        <is>
          <t>U-DE TRATAMIENTO DE AMINA AREA COMUN</t>
        </is>
      </c>
      <c r="C40" s="4" t="inlineStr">
        <is>
          <t>BB-SFI-09-AL-01</t>
        </is>
      </c>
      <c r="D40" s="4" t="inlineStr">
        <is>
          <t>20940187</t>
        </is>
      </c>
      <c r="E40" s="8" t="n">
        <v>30</v>
      </c>
      <c r="F40" s="20" t="n">
        <v>540</v>
      </c>
      <c r="G40" s="5" t="n">
        <v>1.5</v>
      </c>
      <c r="H40" s="5" t="n">
        <v>242.6</v>
      </c>
      <c r="I40" s="5" t="n">
        <v>125</v>
      </c>
      <c r="J40" s="5" t="n">
        <v>135</v>
      </c>
      <c r="K40" s="5" t="n">
        <v>100</v>
      </c>
      <c r="L40" s="4" t="inlineStr">
        <is>
          <t>NIQUEL-CADMIO</t>
        </is>
      </c>
      <c r="M40" s="4" t="inlineStr">
        <is>
          <t>SAFT NIFE</t>
        </is>
      </c>
      <c r="N40" s="4" t="inlineStr">
        <is>
          <t>UP1M 540-1</t>
        </is>
      </c>
      <c r="O40" s="5" t="n">
        <v>3</v>
      </c>
      <c r="P40" s="5" t="n">
        <v>480</v>
      </c>
      <c r="Q40" s="4" t="inlineStr"/>
      <c r="R40" s="4" t="inlineStr"/>
      <c r="S40" s="8" t="n"/>
    </row>
    <row r="41">
      <c r="A41" s="21" t="inlineStr">
        <is>
          <t>6</t>
        </is>
      </c>
      <c r="B41" s="21" t="inlineStr">
        <is>
          <t>U-DE TRATAMIENTO DE AMINA AREA COMUN</t>
        </is>
      </c>
      <c r="C41" s="21" t="inlineStr">
        <is>
          <t>BB-SFI-09-FS-01</t>
        </is>
      </c>
      <c r="D41" s="21" t="inlineStr">
        <is>
          <t>20940202</t>
        </is>
      </c>
      <c r="E41" s="22" t="n"/>
      <c r="F41" s="23" t="n">
        <v>320</v>
      </c>
      <c r="G41" s="24" t="n">
        <v>0.5</v>
      </c>
      <c r="H41" s="24" t="n"/>
      <c r="I41" s="24" t="n"/>
      <c r="J41" s="24" t="n"/>
      <c r="K41" s="24" t="n">
        <v>100</v>
      </c>
      <c r="L41" s="21" t="inlineStr">
        <is>
          <t>NIQUEL-CADMIO</t>
        </is>
      </c>
      <c r="M41" s="21" t="inlineStr">
        <is>
          <t>SAFT NIFE</t>
        </is>
      </c>
      <c r="N41" s="21" t="inlineStr">
        <is>
          <t>UP1M 320-2</t>
        </is>
      </c>
      <c r="O41" s="24" t="n">
        <v>1</v>
      </c>
      <c r="P41" s="24" t="n"/>
      <c r="Q41" s="21" t="inlineStr">
        <is>
          <t>Sin kVA en SAP</t>
        </is>
      </c>
      <c r="R41" s="21" t="inlineStr"/>
      <c r="S41" s="22" t="n"/>
    </row>
    <row r="42">
      <c r="A42" s="21" t="inlineStr">
        <is>
          <t>6</t>
        </is>
      </c>
      <c r="B42" s="21" t="inlineStr">
        <is>
          <t>U-DE TRATAMIENTO DE AMINA AREA COMUN</t>
        </is>
      </c>
      <c r="C42" s="21" t="inlineStr">
        <is>
          <t>BB-SFI-09-ST-01</t>
        </is>
      </c>
      <c r="D42" s="21" t="inlineStr">
        <is>
          <t>20940194</t>
        </is>
      </c>
      <c r="E42" s="22" t="n"/>
      <c r="F42" s="23" t="n">
        <v>420</v>
      </c>
      <c r="G42" s="24" t="n">
        <v>0.5</v>
      </c>
      <c r="H42" s="24" t="n"/>
      <c r="I42" s="24" t="n"/>
      <c r="J42" s="24" t="n"/>
      <c r="K42" s="24" t="n">
        <v>100</v>
      </c>
      <c r="L42" s="21" t="inlineStr">
        <is>
          <t>NIQUEL-CADMIO</t>
        </is>
      </c>
      <c r="M42" s="21" t="inlineStr">
        <is>
          <t>SAFT NIFE</t>
        </is>
      </c>
      <c r="N42" s="21" t="inlineStr">
        <is>
          <t>UP1M 420-2</t>
        </is>
      </c>
      <c r="O42" s="24" t="n">
        <v>1</v>
      </c>
      <c r="P42" s="24" t="n"/>
      <c r="Q42" s="21" t="inlineStr">
        <is>
          <t>Sin kVA en SAP</t>
        </is>
      </c>
      <c r="R42" s="21" t="inlineStr"/>
      <c r="S42" s="22" t="n"/>
    </row>
    <row r="43">
      <c r="A43" s="4" t="inlineStr">
        <is>
          <t>6</t>
        </is>
      </c>
      <c r="B43" s="4" t="inlineStr">
        <is>
          <t>U-RECUPERADORA DE AZUFRE (PRA1) TREN 1</t>
        </is>
      </c>
      <c r="C43" s="4" t="inlineStr">
        <is>
          <t>BB-SFI-02-01-S06</t>
        </is>
      </c>
      <c r="D43" s="4" t="inlineStr">
        <is>
          <t>20940051</t>
        </is>
      </c>
      <c r="E43" s="8" t="n">
        <v>80</v>
      </c>
      <c r="F43" s="20" t="n">
        <v>690</v>
      </c>
      <c r="G43" s="5" t="n">
        <v>1.5</v>
      </c>
      <c r="H43" s="5" t="n">
        <v>723</v>
      </c>
      <c r="I43" s="5" t="n">
        <v>125</v>
      </c>
      <c r="J43" s="5" t="n">
        <v>135</v>
      </c>
      <c r="K43" s="5" t="n">
        <v>100</v>
      </c>
      <c r="L43" s="4" t="inlineStr">
        <is>
          <t>NIQUEL-CADMIO</t>
        </is>
      </c>
      <c r="M43" s="4" t="inlineStr">
        <is>
          <t>GAZ</t>
        </is>
      </c>
      <c r="N43" s="4" t="inlineStr">
        <is>
          <t>LOMAIN KGM 690 P</t>
        </is>
      </c>
      <c r="O43" s="5" t="n">
        <v>3</v>
      </c>
      <c r="P43" s="5" t="n">
        <v>480</v>
      </c>
      <c r="Q43" s="4" t="inlineStr"/>
      <c r="R43" s="4" t="inlineStr"/>
      <c r="S43" s="8" t="n"/>
    </row>
    <row r="44">
      <c r="A44" s="4" t="inlineStr">
        <is>
          <t>6</t>
        </is>
      </c>
      <c r="B44" s="4" t="inlineStr">
        <is>
          <t>U-RECUPERADORA DE AZUFRE (PRA1) TREN 1</t>
        </is>
      </c>
      <c r="C44" s="4" t="inlineStr">
        <is>
          <t>BB-SFI-CCSSCD/TEL</t>
        </is>
      </c>
      <c r="D44" s="4" t="inlineStr">
        <is>
          <t>20940052</t>
        </is>
      </c>
      <c r="E44" s="8" t="n">
        <v>40</v>
      </c>
      <c r="F44" s="20" t="n">
        <v>450</v>
      </c>
      <c r="G44" s="5" t="n">
        <v>0.5</v>
      </c>
      <c r="H44" s="5" t="n">
        <v>404</v>
      </c>
      <c r="I44" s="5" t="n">
        <v>125</v>
      </c>
      <c r="J44" s="5" t="n">
        <v>135</v>
      </c>
      <c r="K44" s="5" t="n">
        <v>100</v>
      </c>
      <c r="L44" s="4" t="inlineStr">
        <is>
          <t>NIQUEL-CADMIO</t>
        </is>
      </c>
      <c r="M44" s="4" t="inlineStr">
        <is>
          <t>GAZ</t>
        </is>
      </c>
      <c r="N44" s="4" t="inlineStr">
        <is>
          <t>LOMAIN KGM 450 P</t>
        </is>
      </c>
      <c r="O44" s="5" t="n">
        <v>3</v>
      </c>
      <c r="P44" s="5" t="n">
        <v>480</v>
      </c>
      <c r="Q44" s="4" t="inlineStr"/>
      <c r="R44" s="4" t="inlineStr"/>
      <c r="S44" s="8" t="n"/>
    </row>
    <row r="45">
      <c r="A45" s="4" t="inlineStr">
        <is>
          <t>6</t>
        </is>
      </c>
      <c r="B45" s="4" t="inlineStr">
        <is>
          <t>U-RECUPERADORA DE AZUFRE (PRA1) TREN 1</t>
        </is>
      </c>
      <c r="C45" s="4" t="inlineStr">
        <is>
          <t>BB-SFI-CCSSESCD-SFG</t>
        </is>
      </c>
      <c r="D45" s="4" t="inlineStr">
        <is>
          <t>20940053</t>
        </is>
      </c>
      <c r="E45" s="8" t="n">
        <v>30</v>
      </c>
      <c r="F45" s="20" t="n">
        <v>300</v>
      </c>
      <c r="G45" s="5" t="n">
        <v>0.5</v>
      </c>
      <c r="H45" s="5" t="n">
        <v>303</v>
      </c>
      <c r="I45" s="5" t="n">
        <v>125</v>
      </c>
      <c r="J45" s="5" t="n">
        <v>135</v>
      </c>
      <c r="K45" s="5" t="n">
        <v>100</v>
      </c>
      <c r="L45" s="4" t="inlineStr">
        <is>
          <t>NIQUEL-CADMIO</t>
        </is>
      </c>
      <c r="M45" s="4" t="inlineStr">
        <is>
          <t>GAZ</t>
        </is>
      </c>
      <c r="N45" s="4" t="inlineStr">
        <is>
          <t>LOMAIN KGM 300 P</t>
        </is>
      </c>
      <c r="O45" s="5" t="n">
        <v>3</v>
      </c>
      <c r="P45" s="5" t="n">
        <v>480</v>
      </c>
      <c r="Q45" s="4" t="inlineStr"/>
      <c r="R45" s="4" t="inlineStr"/>
      <c r="S45" s="8" t="n"/>
    </row>
    <row r="46">
      <c r="A46" s="21" t="inlineStr">
        <is>
          <t>7</t>
        </is>
      </c>
      <c r="B46" s="21" t="inlineStr">
        <is>
          <t>CARCAMO SUR</t>
        </is>
      </c>
      <c r="C46" s="21" t="inlineStr">
        <is>
          <t>BB-SFI-33-SCD/TEL/SFG</t>
        </is>
      </c>
      <c r="D46" s="21" t="inlineStr">
        <is>
          <t>21018646</t>
        </is>
      </c>
      <c r="E46" s="22" t="n"/>
      <c r="F46" s="23" t="n"/>
      <c r="G46" s="24" t="n">
        <v>0.5</v>
      </c>
      <c r="H46" s="24" t="n"/>
      <c r="I46" s="24" t="n">
        <v>125</v>
      </c>
      <c r="J46" s="24" t="n"/>
      <c r="K46" s="24" t="n">
        <v>100</v>
      </c>
      <c r="L46" s="21" t="inlineStr">
        <is>
          <t>NI-CAD</t>
        </is>
      </c>
      <c r="M46" s="21" t="inlineStr">
        <is>
          <t>HOPPECKE</t>
        </is>
      </c>
      <c r="N46" s="21" t="n"/>
      <c r="O46" s="24" t="n">
        <v>3</v>
      </c>
      <c r="P46" s="24" t="n">
        <v>480</v>
      </c>
      <c r="Q46" s="21" t="inlineStr">
        <is>
          <t>Sin kVA en SAP; Sin Ah</t>
        </is>
      </c>
      <c r="R46" s="21" t="inlineStr"/>
      <c r="S46" s="22" t="n"/>
    </row>
    <row r="47">
      <c r="A47" s="21" t="inlineStr">
        <is>
          <t>7</t>
        </is>
      </c>
      <c r="B47" s="21" t="inlineStr">
        <is>
          <t>PLANTA DE TRATAMIENTO DE EFLUENTES</t>
        </is>
      </c>
      <c r="C47" s="21" t="inlineStr">
        <is>
          <t>BB-SFI-10-AL-03</t>
        </is>
      </c>
      <c r="D47" s="21" t="inlineStr">
        <is>
          <t>21002335</t>
        </is>
      </c>
      <c r="E47" s="22" t="n"/>
      <c r="F47" s="23" t="n">
        <v>540</v>
      </c>
      <c r="G47" s="24" t="n"/>
      <c r="H47" s="24" t="n"/>
      <c r="I47" s="24" t="n"/>
      <c r="J47" s="24" t="n"/>
      <c r="K47" s="24" t="n"/>
      <c r="L47" s="21" t="inlineStr">
        <is>
          <t>NI-CAD</t>
        </is>
      </c>
      <c r="M47" s="21" t="inlineStr">
        <is>
          <t>SAFT</t>
        </is>
      </c>
      <c r="N47" s="21" t="inlineStr">
        <is>
          <t>UP1M-540-1</t>
        </is>
      </c>
      <c r="O47" s="24" t="n">
        <v>3</v>
      </c>
      <c r="P47" s="24" t="n"/>
      <c r="Q47" s="21" t="inlineStr">
        <is>
          <t>Sin kVA en SAP</t>
        </is>
      </c>
      <c r="R47" s="21" t="inlineStr"/>
      <c r="S47" s="22" t="n"/>
    </row>
    <row r="48">
      <c r="A48" s="21" t="inlineStr">
        <is>
          <t>7</t>
        </is>
      </c>
      <c r="B48" s="21" t="inlineStr">
        <is>
          <t>PLANTA DE TRATAMIENTO DE EFLUENTES</t>
        </is>
      </c>
      <c r="C48" s="21" t="inlineStr">
        <is>
          <t>BB-SFI-10-FS-02</t>
        </is>
      </c>
      <c r="D48" s="21" t="inlineStr">
        <is>
          <t>21002333</t>
        </is>
      </c>
      <c r="E48" s="22" t="n"/>
      <c r="F48" s="23" t="n"/>
      <c r="G48" s="24" t="n"/>
      <c r="H48" s="24" t="n"/>
      <c r="I48" s="24" t="n"/>
      <c r="J48" s="24" t="n"/>
      <c r="K48" s="24" t="n"/>
      <c r="L48" s="21" t="inlineStr">
        <is>
          <t>NI-CAD</t>
        </is>
      </c>
      <c r="M48" s="21" t="inlineStr">
        <is>
          <t>SAFT</t>
        </is>
      </c>
      <c r="N48" s="21" t="inlineStr">
        <is>
          <t>UP1M-220-4</t>
        </is>
      </c>
      <c r="O48" s="24" t="n">
        <v>3</v>
      </c>
      <c r="P48" s="24" t="n"/>
      <c r="Q48" s="21" t="inlineStr">
        <is>
          <t>Sin kVA en SAP; Sin Ah</t>
        </is>
      </c>
      <c r="R48" s="21" t="inlineStr"/>
      <c r="S48" s="22" t="n"/>
    </row>
    <row r="49">
      <c r="A49" s="21" t="inlineStr">
        <is>
          <t>7</t>
        </is>
      </c>
      <c r="B49" s="21" t="inlineStr">
        <is>
          <t>PLANTA DE TRATAMIENTO DE EFLUENTES</t>
        </is>
      </c>
      <c r="C49" s="21" t="inlineStr">
        <is>
          <t>BB-SFI-10-ST-01</t>
        </is>
      </c>
      <c r="D49" s="21" t="inlineStr">
        <is>
          <t>21002334</t>
        </is>
      </c>
      <c r="E49" s="22" t="n"/>
      <c r="F49" s="23" t="n">
        <v>270</v>
      </c>
      <c r="G49" s="24" t="n"/>
      <c r="H49" s="24" t="n"/>
      <c r="I49" s="24" t="n"/>
      <c r="J49" s="24" t="n"/>
      <c r="K49" s="24" t="n"/>
      <c r="L49" s="21" t="inlineStr">
        <is>
          <t>NI-CAD</t>
        </is>
      </c>
      <c r="M49" s="21" t="inlineStr">
        <is>
          <t>SAFT</t>
        </is>
      </c>
      <c r="N49" s="21" t="inlineStr">
        <is>
          <t>UP1M-270-2</t>
        </is>
      </c>
      <c r="O49" s="24" t="n">
        <v>3</v>
      </c>
      <c r="P49" s="24" t="n"/>
      <c r="Q49" s="21" t="inlineStr">
        <is>
          <t>Sin kVA en SAP</t>
        </is>
      </c>
      <c r="R49" s="21" t="inlineStr"/>
      <c r="S49" s="22" t="n"/>
    </row>
    <row r="50">
      <c r="A50" s="4" t="inlineStr">
        <is>
          <t>8</t>
        </is>
      </c>
      <c r="B50" s="4" t="inlineStr">
        <is>
          <t>ARRANQUE NEGRO</t>
        </is>
      </c>
      <c r="C50" s="4" t="inlineStr">
        <is>
          <t>BB-SFI-ANR-01</t>
        </is>
      </c>
      <c r="D50" s="4" t="inlineStr">
        <is>
          <t>20940287</t>
        </is>
      </c>
      <c r="E50" s="8" t="n">
        <v>7.5</v>
      </c>
      <c r="F50" s="20" t="n">
        <v>140</v>
      </c>
      <c r="G50" s="5" t="n">
        <v>0.5</v>
      </c>
      <c r="H50" s="5" t="n"/>
      <c r="I50" s="5" t="n">
        <v>125</v>
      </c>
      <c r="J50" s="5" t="n"/>
      <c r="K50" s="5" t="n">
        <v>100</v>
      </c>
      <c r="L50" s="4" t="inlineStr">
        <is>
          <t>NIQUEL-CADMIO</t>
        </is>
      </c>
      <c r="M50" s="4" t="inlineStr">
        <is>
          <t>GAZ</t>
        </is>
      </c>
      <c r="N50" s="4" t="inlineStr">
        <is>
          <t>KGM-140 P</t>
        </is>
      </c>
      <c r="O50" s="5" t="n">
        <v>3</v>
      </c>
      <c r="P50" s="5" t="n">
        <v>480</v>
      </c>
      <c r="Q50" s="4" t="inlineStr"/>
      <c r="R50" s="4" t="inlineStr"/>
      <c r="S50" s="8" t="n"/>
    </row>
    <row r="51">
      <c r="A51" s="4" t="inlineStr">
        <is>
          <t>8</t>
        </is>
      </c>
      <c r="B51" s="4" t="inlineStr">
        <is>
          <t>ARRANQUE NEGRO</t>
        </is>
      </c>
      <c r="C51" s="4" t="inlineStr">
        <is>
          <t>BB-SFI-ANR-TEL/F&amp;G</t>
        </is>
      </c>
      <c r="D51" s="4" t="inlineStr">
        <is>
          <t>20940286</t>
        </is>
      </c>
      <c r="E51" s="8" t="n">
        <v>15</v>
      </c>
      <c r="F51" s="20" t="n">
        <v>160</v>
      </c>
      <c r="G51" s="5" t="n">
        <v>0.5</v>
      </c>
      <c r="H51" s="5" t="n"/>
      <c r="I51" s="5" t="n">
        <v>125</v>
      </c>
      <c r="J51" s="5" t="n"/>
      <c r="K51" s="5" t="n">
        <v>100</v>
      </c>
      <c r="L51" s="4" t="inlineStr">
        <is>
          <t>NIQUEL-CADMIO</t>
        </is>
      </c>
      <c r="M51" s="4" t="inlineStr">
        <is>
          <t>GAZ</t>
        </is>
      </c>
      <c r="N51" s="4" t="inlineStr">
        <is>
          <t>KGM-160 P</t>
        </is>
      </c>
      <c r="O51" s="5" t="n">
        <v>3</v>
      </c>
      <c r="P51" s="5" t="n">
        <v>480</v>
      </c>
      <c r="Q51" s="4" t="inlineStr"/>
      <c r="R51" s="4" t="inlineStr"/>
      <c r="S51" s="8" t="n"/>
    </row>
    <row r="52">
      <c r="A52" s="4" t="inlineStr">
        <is>
          <t>8</t>
        </is>
      </c>
      <c r="B52" s="4" t="inlineStr">
        <is>
          <t>PLANTA DE COGENERACIÓN</t>
        </is>
      </c>
      <c r="C52" s="4" t="inlineStr">
        <is>
          <t>BB-SFI-216-01</t>
        </is>
      </c>
      <c r="D52" s="4" t="inlineStr">
        <is>
          <t>20940259</t>
        </is>
      </c>
      <c r="E52" s="8" t="n">
        <v>100</v>
      </c>
      <c r="F52" s="20" t="n">
        <v>1560</v>
      </c>
      <c r="G52" s="5" t="n">
        <v>8</v>
      </c>
      <c r="H52" s="5" t="n"/>
      <c r="I52" s="5" t="n">
        <v>220</v>
      </c>
      <c r="J52" s="5" t="n"/>
      <c r="K52" s="5" t="n">
        <v>184</v>
      </c>
      <c r="L52" s="4" t="inlineStr">
        <is>
          <t>NIQUEL-CADMIO</t>
        </is>
      </c>
      <c r="M52" s="4" t="inlineStr">
        <is>
          <t>GAZ</t>
        </is>
      </c>
      <c r="N52" s="4" t="inlineStr">
        <is>
          <t>KGM-1560 P</t>
        </is>
      </c>
      <c r="O52" s="5" t="n">
        <v>3</v>
      </c>
      <c r="P52" s="5" t="n">
        <v>480</v>
      </c>
      <c r="Q52" s="4" t="inlineStr"/>
      <c r="R52" s="4" t="inlineStr"/>
      <c r="S52" s="8" t="n"/>
    </row>
    <row r="53">
      <c r="A53" s="4" t="inlineStr">
        <is>
          <t>8</t>
        </is>
      </c>
      <c r="B53" s="4" t="inlineStr">
        <is>
          <t>PLANTA DE COGENERACIÓN</t>
        </is>
      </c>
      <c r="C53" s="4" t="inlineStr">
        <is>
          <t>BB-SFI-216-02</t>
        </is>
      </c>
      <c r="D53" s="4" t="inlineStr">
        <is>
          <t>20940264</t>
        </is>
      </c>
      <c r="E53" s="8" t="n">
        <v>134</v>
      </c>
      <c r="F53" s="20" t="n">
        <v>785</v>
      </c>
      <c r="G53" s="5" t="n">
        <v>0.5</v>
      </c>
      <c r="H53" s="5" t="n"/>
      <c r="I53" s="5" t="n">
        <v>125</v>
      </c>
      <c r="J53" s="5" t="n"/>
      <c r="K53" s="5" t="n">
        <v>100</v>
      </c>
      <c r="L53" s="4" t="inlineStr">
        <is>
          <t>NIQUEL-CADMIO</t>
        </is>
      </c>
      <c r="M53" s="4" t="inlineStr">
        <is>
          <t>HBL</t>
        </is>
      </c>
      <c r="N53" s="4" t="inlineStr">
        <is>
          <t>HVM 785</t>
        </is>
      </c>
      <c r="O53" s="5" t="n">
        <v>3</v>
      </c>
      <c r="P53" s="5" t="n">
        <v>480</v>
      </c>
      <c r="Q53" s="4" t="inlineStr">
        <is>
          <t>kVA no comercial: validar placa</t>
        </is>
      </c>
      <c r="R53" s="4" t="inlineStr"/>
      <c r="S53" s="8" t="n"/>
    </row>
    <row r="54">
      <c r="A54" s="4" t="inlineStr">
        <is>
          <t>8</t>
        </is>
      </c>
      <c r="B54" s="4" t="inlineStr">
        <is>
          <t>PLANTA DE COGENERACIÓN</t>
        </is>
      </c>
      <c r="C54" s="4" t="inlineStr">
        <is>
          <t>BB-SFI-SEP01-01</t>
        </is>
      </c>
      <c r="D54" s="4" t="inlineStr">
        <is>
          <t>20940256</t>
        </is>
      </c>
      <c r="E54" s="8" t="n">
        <v>50</v>
      </c>
      <c r="F54" s="20" t="n">
        <v>1250</v>
      </c>
      <c r="G54" s="5" t="n">
        <v>0.5</v>
      </c>
      <c r="H54" s="5" t="n"/>
      <c r="I54" s="5" t="n">
        <v>125</v>
      </c>
      <c r="J54" s="5" t="n"/>
      <c r="K54" s="5" t="n">
        <v>100</v>
      </c>
      <c r="L54" s="4" t="inlineStr">
        <is>
          <t>NIQUEL-CADMIO</t>
        </is>
      </c>
      <c r="M54" s="4" t="inlineStr">
        <is>
          <t>GAZ</t>
        </is>
      </c>
      <c r="N54" s="4" t="inlineStr">
        <is>
          <t>KGM-1250 P</t>
        </is>
      </c>
      <c r="O54" s="5" t="n">
        <v>3</v>
      </c>
      <c r="P54" s="5" t="n">
        <v>480</v>
      </c>
      <c r="Q54" s="4" t="inlineStr"/>
      <c r="R54" s="4" t="inlineStr"/>
      <c r="S54" s="8" t="n"/>
    </row>
    <row r="55">
      <c r="A55" s="4" t="inlineStr">
        <is>
          <t>8</t>
        </is>
      </c>
      <c r="B55" s="4" t="inlineStr">
        <is>
          <t>PLANTA DE COGENERACIÓN</t>
        </is>
      </c>
      <c r="C55" s="4" t="inlineStr">
        <is>
          <t>BB-SFI-SEP01-02</t>
        </is>
      </c>
      <c r="D55" s="4" t="inlineStr">
        <is>
          <t>20940257</t>
        </is>
      </c>
      <c r="E55" s="8" t="n">
        <v>40</v>
      </c>
      <c r="F55" s="20" t="n">
        <v>950</v>
      </c>
      <c r="G55" s="5" t="n">
        <v>0.5</v>
      </c>
      <c r="H55" s="5" t="n"/>
      <c r="I55" s="5" t="n">
        <v>125</v>
      </c>
      <c r="J55" s="5" t="n"/>
      <c r="K55" s="5" t="n">
        <v>100</v>
      </c>
      <c r="L55" s="4" t="inlineStr">
        <is>
          <t>NIQUEL-CADMIO</t>
        </is>
      </c>
      <c r="M55" s="4" t="inlineStr">
        <is>
          <t>GAZ</t>
        </is>
      </c>
      <c r="N55" s="4" t="inlineStr">
        <is>
          <t>KGM-950 P</t>
        </is>
      </c>
      <c r="O55" s="5" t="n">
        <v>3</v>
      </c>
      <c r="P55" s="5" t="n">
        <v>480</v>
      </c>
      <c r="Q55" s="4" t="inlineStr"/>
      <c r="R55" s="4" t="inlineStr"/>
      <c r="S55" s="8" t="n"/>
    </row>
    <row r="56">
      <c r="A56" s="4" t="inlineStr">
        <is>
          <t>8</t>
        </is>
      </c>
      <c r="B56" s="4" t="inlineStr">
        <is>
          <t>PLANTA DE COGENERACIÓN</t>
        </is>
      </c>
      <c r="C56" s="4" t="inlineStr">
        <is>
          <t>BB-SFI-SEP01-03</t>
        </is>
      </c>
      <c r="D56" s="4" t="inlineStr">
        <is>
          <t>20940258</t>
        </is>
      </c>
      <c r="E56" s="8" t="n">
        <v>20</v>
      </c>
      <c r="F56" s="20" t="n">
        <v>570</v>
      </c>
      <c r="G56" s="5" t="n">
        <v>0.5</v>
      </c>
      <c r="H56" s="5" t="n"/>
      <c r="I56" s="5" t="n">
        <v>125</v>
      </c>
      <c r="J56" s="5" t="n"/>
      <c r="K56" s="5" t="n">
        <v>100</v>
      </c>
      <c r="L56" s="4" t="inlineStr">
        <is>
          <t>NIQUEL-CADMIO</t>
        </is>
      </c>
      <c r="M56" s="4" t="inlineStr">
        <is>
          <t>GAZ</t>
        </is>
      </c>
      <c r="N56" s="4" t="inlineStr">
        <is>
          <t>KGM-570 P</t>
        </is>
      </c>
      <c r="O56" s="5" t="n">
        <v>3</v>
      </c>
      <c r="P56" s="5" t="n">
        <v>480</v>
      </c>
      <c r="Q56" s="4" t="inlineStr"/>
      <c r="R56" s="4" t="inlineStr"/>
      <c r="S56" s="8" t="n"/>
    </row>
    <row r="57">
      <c r="A57" s="4" t="inlineStr">
        <is>
          <t>8</t>
        </is>
      </c>
      <c r="B57" s="4" t="inlineStr">
        <is>
          <t>PLANTA DE COGENERACIÓN</t>
        </is>
      </c>
      <c r="C57" s="4" t="inlineStr">
        <is>
          <t>BB-SFI-SEP02-01</t>
        </is>
      </c>
      <c r="D57" s="4" t="inlineStr">
        <is>
          <t>20940280</t>
        </is>
      </c>
      <c r="E57" s="8" t="n">
        <v>7.5</v>
      </c>
      <c r="F57" s="20" t="n">
        <v>140</v>
      </c>
      <c r="G57" s="5" t="n">
        <v>0.5</v>
      </c>
      <c r="H57" s="5" t="n"/>
      <c r="I57" s="5" t="n">
        <v>125</v>
      </c>
      <c r="J57" s="5" t="n"/>
      <c r="K57" s="5" t="n">
        <v>100</v>
      </c>
      <c r="L57" s="4" t="inlineStr">
        <is>
          <t>NIQUEL-CADMIO</t>
        </is>
      </c>
      <c r="M57" s="4" t="inlineStr">
        <is>
          <t>GAZ</t>
        </is>
      </c>
      <c r="N57" s="4" t="inlineStr">
        <is>
          <t>KGM-140 P</t>
        </is>
      </c>
      <c r="O57" s="5" t="n">
        <v>3</v>
      </c>
      <c r="P57" s="5" t="n">
        <v>480</v>
      </c>
      <c r="Q57" s="4" t="inlineStr"/>
      <c r="R57" s="4" t="inlineStr"/>
      <c r="S57" s="8" t="n"/>
    </row>
    <row r="58">
      <c r="A58" s="4" t="inlineStr">
        <is>
          <t>8</t>
        </is>
      </c>
      <c r="B58" s="4" t="inlineStr">
        <is>
          <t>PLANTA DE COGENERACIÓN</t>
        </is>
      </c>
      <c r="C58" s="4" t="inlineStr">
        <is>
          <t>BB-SFI-SEP02-SICE</t>
        </is>
      </c>
      <c r="D58" s="4" t="inlineStr">
        <is>
          <t>20940281</t>
        </is>
      </c>
      <c r="E58" s="8" t="n">
        <v>7.5</v>
      </c>
      <c r="F58" s="20" t="n">
        <v>90</v>
      </c>
      <c r="G58" s="5" t="n">
        <v>0.5</v>
      </c>
      <c r="H58" s="5" t="n"/>
      <c r="I58" s="5" t="n">
        <v>125</v>
      </c>
      <c r="J58" s="5" t="n"/>
      <c r="K58" s="5" t="n">
        <v>100</v>
      </c>
      <c r="L58" s="4" t="inlineStr">
        <is>
          <t>NIQUEL-CADMIO</t>
        </is>
      </c>
      <c r="M58" s="4" t="inlineStr">
        <is>
          <t>GAZ</t>
        </is>
      </c>
      <c r="N58" s="4" t="inlineStr">
        <is>
          <t>KGM-90 P</t>
        </is>
      </c>
      <c r="O58" s="5" t="n">
        <v>3</v>
      </c>
      <c r="P58" s="5" t="n">
        <v>480</v>
      </c>
      <c r="Q58" s="4" t="inlineStr"/>
      <c r="R58" s="4" t="inlineStr"/>
      <c r="S58" s="8" t="n"/>
    </row>
    <row r="59">
      <c r="A59" s="4" t="inlineStr">
        <is>
          <t>8</t>
        </is>
      </c>
      <c r="B59" s="4" t="inlineStr">
        <is>
          <t>PLANTA DE COGENERACIÓN</t>
        </is>
      </c>
      <c r="C59" s="4" t="inlineStr">
        <is>
          <t>BB-SFI-SEP02-TEL/SF&amp;G</t>
        </is>
      </c>
      <c r="D59" s="4" t="inlineStr">
        <is>
          <t>20940279</t>
        </is>
      </c>
      <c r="E59" s="8" t="n">
        <v>15</v>
      </c>
      <c r="F59" s="20" t="n">
        <v>205</v>
      </c>
      <c r="G59" s="5" t="n">
        <v>0.5</v>
      </c>
      <c r="H59" s="5" t="n"/>
      <c r="I59" s="5" t="n">
        <v>125</v>
      </c>
      <c r="J59" s="5" t="n"/>
      <c r="K59" s="5" t="n">
        <v>100</v>
      </c>
      <c r="L59" s="4" t="inlineStr">
        <is>
          <t>NIQUEL-CADMIO</t>
        </is>
      </c>
      <c r="M59" s="4" t="inlineStr">
        <is>
          <t>GAZ</t>
        </is>
      </c>
      <c r="N59" s="4" t="inlineStr">
        <is>
          <t>KGM-205 P</t>
        </is>
      </c>
      <c r="O59" s="5" t="n">
        <v>3</v>
      </c>
      <c r="P59" s="5" t="n">
        <v>480</v>
      </c>
      <c r="Q59" s="4" t="inlineStr"/>
      <c r="R59" s="4" t="inlineStr"/>
      <c r="S59" s="8" t="n"/>
    </row>
    <row r="60">
      <c r="A60" s="4" t="inlineStr">
        <is>
          <t>8</t>
        </is>
      </c>
      <c r="B60" s="4" t="inlineStr">
        <is>
          <t>PRETRATAMIENTO DE AGUA</t>
        </is>
      </c>
      <c r="C60" s="4" t="inlineStr">
        <is>
          <t>BB-SFI-181-01</t>
        </is>
      </c>
      <c r="D60" s="4" t="inlineStr">
        <is>
          <t>20940249</t>
        </is>
      </c>
      <c r="E60" s="8" t="n">
        <v>50</v>
      </c>
      <c r="F60" s="20" t="n">
        <v>1250</v>
      </c>
      <c r="G60" s="5" t="n">
        <v>0.5</v>
      </c>
      <c r="H60" s="5" t="n"/>
      <c r="I60" s="5" t="n">
        <v>125</v>
      </c>
      <c r="J60" s="5" t="n"/>
      <c r="K60" s="5" t="n">
        <v>100</v>
      </c>
      <c r="L60" s="4" t="inlineStr">
        <is>
          <t>NIQUEL-CADMIO</t>
        </is>
      </c>
      <c r="M60" s="4" t="inlineStr">
        <is>
          <t>GAZ</t>
        </is>
      </c>
      <c r="N60" s="4" t="inlineStr">
        <is>
          <t>KGM-1250 P</t>
        </is>
      </c>
      <c r="O60" s="5" t="n">
        <v>3</v>
      </c>
      <c r="P60" s="5" t="n">
        <v>480</v>
      </c>
      <c r="Q60" s="4" t="inlineStr"/>
      <c r="R60" s="4" t="inlineStr"/>
      <c r="S60" s="8" t="n"/>
    </row>
    <row r="61">
      <c r="A61" s="4" t="inlineStr">
        <is>
          <t>8</t>
        </is>
      </c>
      <c r="B61" s="4" t="inlineStr">
        <is>
          <t>PRETRATAMIENTO DE AGUA</t>
        </is>
      </c>
      <c r="C61" s="4" t="inlineStr">
        <is>
          <t>BB-SFI-181-02</t>
        </is>
      </c>
      <c r="D61" s="4" t="inlineStr">
        <is>
          <t>20940250</t>
        </is>
      </c>
      <c r="E61" s="8" t="n">
        <v>30</v>
      </c>
      <c r="F61" s="20" t="n">
        <v>850</v>
      </c>
      <c r="G61" s="5" t="n">
        <v>0.5</v>
      </c>
      <c r="H61" s="5" t="n"/>
      <c r="I61" s="5" t="n">
        <v>125</v>
      </c>
      <c r="J61" s="5" t="n"/>
      <c r="K61" s="5" t="n">
        <v>100</v>
      </c>
      <c r="L61" s="4" t="inlineStr">
        <is>
          <t>NIQUEL-CADMIO</t>
        </is>
      </c>
      <c r="M61" s="4" t="inlineStr">
        <is>
          <t>GAZ</t>
        </is>
      </c>
      <c r="N61" s="4" t="inlineStr">
        <is>
          <t>KGM-850 P</t>
        </is>
      </c>
      <c r="O61" s="5" t="n">
        <v>3</v>
      </c>
      <c r="P61" s="5" t="n">
        <v>480</v>
      </c>
      <c r="Q61" s="4" t="inlineStr"/>
      <c r="R61" s="4" t="inlineStr"/>
      <c r="S61" s="8" t="n"/>
    </row>
    <row r="62">
      <c r="A62" s="4" t="inlineStr">
        <is>
          <t>8</t>
        </is>
      </c>
      <c r="B62" s="4" t="inlineStr">
        <is>
          <t>PRETRATAMIENTO DE AGUA</t>
        </is>
      </c>
      <c r="C62" s="4" t="inlineStr">
        <is>
          <t>BB-SFI-181-03</t>
        </is>
      </c>
      <c r="D62" s="4" t="inlineStr">
        <is>
          <t>20940251</t>
        </is>
      </c>
      <c r="E62" s="8" t="n">
        <v>20</v>
      </c>
      <c r="F62" s="20" t="n">
        <v>570</v>
      </c>
      <c r="G62" s="5" t="n">
        <v>0.5</v>
      </c>
      <c r="H62" s="5" t="n"/>
      <c r="I62" s="5" t="n">
        <v>125</v>
      </c>
      <c r="J62" s="5" t="n"/>
      <c r="K62" s="5" t="n">
        <v>100</v>
      </c>
      <c r="L62" s="4" t="inlineStr">
        <is>
          <t>NIQUEL-CADMIO</t>
        </is>
      </c>
      <c r="M62" s="4" t="inlineStr">
        <is>
          <t>GAZ</t>
        </is>
      </c>
      <c r="N62" s="4" t="inlineStr">
        <is>
          <t>KGM-570 P</t>
        </is>
      </c>
      <c r="O62" s="5" t="n">
        <v>3</v>
      </c>
      <c r="P62" s="5" t="n">
        <v>480</v>
      </c>
      <c r="Q62" s="4" t="inlineStr"/>
      <c r="R62" s="4" t="inlineStr"/>
      <c r="S62" s="8" t="n"/>
    </row>
    <row r="63">
      <c r="A63" s="4" t="inlineStr">
        <is>
          <t>8</t>
        </is>
      </c>
      <c r="B63" s="4" t="inlineStr">
        <is>
          <t>PRETRATAMIENTO DE AGUA</t>
        </is>
      </c>
      <c r="C63" s="4" t="inlineStr">
        <is>
          <t>BB-SFI-181-05</t>
        </is>
      </c>
      <c r="D63" s="4" t="inlineStr">
        <is>
          <t>20940252</t>
        </is>
      </c>
      <c r="E63" s="8" t="n">
        <v>20</v>
      </c>
      <c r="F63" s="20" t="n">
        <v>265</v>
      </c>
      <c r="G63" s="5" t="n">
        <v>0.5</v>
      </c>
      <c r="H63" s="5" t="n"/>
      <c r="I63" s="5" t="n">
        <v>125</v>
      </c>
      <c r="J63" s="5" t="n"/>
      <c r="K63" s="5" t="n">
        <v>100</v>
      </c>
      <c r="L63" s="4" t="inlineStr">
        <is>
          <t>NIQUEL-CADMIO</t>
        </is>
      </c>
      <c r="M63" s="4" t="inlineStr">
        <is>
          <t>HOPPECKE</t>
        </is>
      </c>
      <c r="N63" s="4" t="inlineStr">
        <is>
          <t>FNC-VR 265M</t>
        </is>
      </c>
      <c r="O63" s="5" t="n">
        <v>3</v>
      </c>
      <c r="P63" s="5" t="n">
        <v>480</v>
      </c>
      <c r="Q63" s="4" t="inlineStr"/>
      <c r="R63" s="4" t="inlineStr"/>
      <c r="S63" s="8" t="n"/>
    </row>
    <row r="64">
      <c r="A64" s="21" t="inlineStr">
        <is>
          <t>8</t>
        </is>
      </c>
      <c r="B64" s="21" t="inlineStr">
        <is>
          <t>SECCION DE CONTRAINCENDIO</t>
        </is>
      </c>
      <c r="C64" s="21" t="inlineStr">
        <is>
          <t>BB-SFI-18-01</t>
        </is>
      </c>
      <c r="D64" s="21" t="inlineStr">
        <is>
          <t>20940254</t>
        </is>
      </c>
      <c r="E64" s="22" t="n"/>
      <c r="F64" s="23" t="n">
        <v>265</v>
      </c>
      <c r="G64" s="24" t="n">
        <v>0.5</v>
      </c>
      <c r="H64" s="24" t="n"/>
      <c r="I64" s="24" t="n">
        <v>125</v>
      </c>
      <c r="J64" s="24" t="n"/>
      <c r="K64" s="24" t="n">
        <v>100</v>
      </c>
      <c r="L64" s="21" t="inlineStr">
        <is>
          <t>NIQUEL-CADMIO</t>
        </is>
      </c>
      <c r="M64" s="21" t="inlineStr">
        <is>
          <t>HOPPECKE</t>
        </is>
      </c>
      <c r="N64" s="21" t="inlineStr">
        <is>
          <t>FNC 265 M</t>
        </is>
      </c>
      <c r="O64" s="24" t="n">
        <v>3</v>
      </c>
      <c r="P64" s="24" t="n">
        <v>480</v>
      </c>
      <c r="Q64" s="21" t="inlineStr">
        <is>
          <t>Sin kVA en SAP</t>
        </is>
      </c>
      <c r="R64" s="21" t="inlineStr"/>
      <c r="S64" s="22" t="n"/>
    </row>
    <row r="65">
      <c r="A65" s="4" t="inlineStr">
        <is>
          <t>8</t>
        </is>
      </c>
      <c r="B65" s="4" t="inlineStr">
        <is>
          <t>SECCION TORRE DE ENFRIAMIENTO CT-00201</t>
        </is>
      </c>
      <c r="C65" s="4" t="inlineStr">
        <is>
          <t>BB-SFI-16-01</t>
        </is>
      </c>
      <c r="D65" s="4" t="inlineStr">
        <is>
          <t>20940275</t>
        </is>
      </c>
      <c r="E65" s="8" t="n">
        <v>15</v>
      </c>
      <c r="F65" s="20" t="n">
        <v>320</v>
      </c>
      <c r="G65" s="5" t="n">
        <v>0.5</v>
      </c>
      <c r="H65" s="5" t="n"/>
      <c r="I65" s="5" t="n">
        <v>125</v>
      </c>
      <c r="J65" s="5" t="n"/>
      <c r="K65" s="5" t="n">
        <v>100</v>
      </c>
      <c r="L65" s="4" t="inlineStr">
        <is>
          <t>NIQUEL-CADMIO</t>
        </is>
      </c>
      <c r="M65" s="4" t="inlineStr">
        <is>
          <t>POWER SAFE</t>
        </is>
      </c>
      <c r="N65" s="4" t="inlineStr">
        <is>
          <t>VGM320</t>
        </is>
      </c>
      <c r="O65" s="5" t="n">
        <v>3</v>
      </c>
      <c r="P65" s="5" t="n">
        <v>480</v>
      </c>
      <c r="Q65" s="4" t="inlineStr"/>
      <c r="R65" s="4" t="inlineStr"/>
      <c r="S65" s="8" t="n"/>
    </row>
    <row r="66">
      <c r="A66" s="4" t="inlineStr">
        <is>
          <t>8</t>
        </is>
      </c>
      <c r="B66" s="4" t="inlineStr">
        <is>
          <t>SECCION TORRE DE ENFRIAMIENTO CT-00201</t>
        </is>
      </c>
      <c r="C66" s="4" t="inlineStr">
        <is>
          <t>BB-SFI-SAT-SCD/TEL</t>
        </is>
      </c>
      <c r="D66" s="4" t="inlineStr">
        <is>
          <t>20940274</t>
        </is>
      </c>
      <c r="E66" s="8" t="n">
        <v>10</v>
      </c>
      <c r="F66" s="20" t="n">
        <v>140</v>
      </c>
      <c r="G66" s="5" t="n">
        <v>0.5</v>
      </c>
      <c r="H66" s="5" t="n"/>
      <c r="I66" s="5" t="n">
        <v>125</v>
      </c>
      <c r="J66" s="5" t="n"/>
      <c r="K66" s="5" t="n">
        <v>100</v>
      </c>
      <c r="L66" s="4" t="inlineStr">
        <is>
          <t>NIQUEL-CADMIO</t>
        </is>
      </c>
      <c r="M66" s="4" t="inlineStr">
        <is>
          <t>POWER SAFE</t>
        </is>
      </c>
      <c r="N66" s="4" t="inlineStr">
        <is>
          <t>VGM140</t>
        </is>
      </c>
      <c r="O66" s="5" t="n">
        <v>3</v>
      </c>
      <c r="P66" s="5" t="n">
        <v>480</v>
      </c>
      <c r="Q66" s="4" t="inlineStr"/>
      <c r="R66" s="4" t="inlineStr"/>
      <c r="S66" s="8" t="n"/>
    </row>
    <row r="67">
      <c r="A67" s="4" t="inlineStr">
        <is>
          <t>8</t>
        </is>
      </c>
      <c r="B67" s="4" t="inlineStr">
        <is>
          <t>SECCION TORRE DE ENFRIAMIENTO CT-00201</t>
        </is>
      </c>
      <c r="C67" s="4" t="inlineStr">
        <is>
          <t>BB-SFI-SAT-SIS/F&amp;G-03</t>
        </is>
      </c>
      <c r="D67" s="4" t="inlineStr">
        <is>
          <t>20940273</t>
        </is>
      </c>
      <c r="E67" s="8" t="n">
        <v>15</v>
      </c>
      <c r="F67" s="20" t="n">
        <v>185</v>
      </c>
      <c r="G67" s="5" t="n">
        <v>0.5</v>
      </c>
      <c r="H67" s="5" t="n"/>
      <c r="I67" s="5" t="n">
        <v>125</v>
      </c>
      <c r="J67" s="5" t="n"/>
      <c r="K67" s="5" t="n">
        <v>100</v>
      </c>
      <c r="L67" s="4" t="inlineStr">
        <is>
          <t>NIQUEL-CADMIO</t>
        </is>
      </c>
      <c r="M67" s="4" t="inlineStr">
        <is>
          <t>POWER SAFE</t>
        </is>
      </c>
      <c r="N67" s="4" t="inlineStr">
        <is>
          <t>VGM185</t>
        </is>
      </c>
      <c r="O67" s="5" t="n">
        <v>3</v>
      </c>
      <c r="P67" s="5" t="n">
        <v>480</v>
      </c>
      <c r="Q67" s="4" t="inlineStr"/>
      <c r="R67" s="4" t="inlineStr"/>
      <c r="S67" s="8" t="n"/>
    </row>
    <row r="68">
      <c r="A68" s="4" t="inlineStr">
        <is>
          <t>8</t>
        </is>
      </c>
      <c r="B68" s="4" t="inlineStr">
        <is>
          <t>SECCION TORRE DE ENFRIAMIENTO CT-00202</t>
        </is>
      </c>
      <c r="C68" s="4" t="inlineStr">
        <is>
          <t>BB-SFI-19-01</t>
        </is>
      </c>
      <c r="D68" s="4" t="inlineStr">
        <is>
          <t>20940277</t>
        </is>
      </c>
      <c r="E68" s="8" t="n">
        <v>15</v>
      </c>
      <c r="F68" s="20" t="n">
        <v>250</v>
      </c>
      <c r="G68" s="5" t="n">
        <v>0.5</v>
      </c>
      <c r="H68" s="5" t="n"/>
      <c r="I68" s="5" t="n">
        <v>125</v>
      </c>
      <c r="J68" s="5" t="n"/>
      <c r="K68" s="5" t="n">
        <v>100</v>
      </c>
      <c r="L68" s="4" t="inlineStr">
        <is>
          <t>NIQUEL-CADMIO</t>
        </is>
      </c>
      <c r="M68" s="4" t="inlineStr">
        <is>
          <t>GAZ</t>
        </is>
      </c>
      <c r="N68" s="4" t="inlineStr">
        <is>
          <t>KGM-250 P</t>
        </is>
      </c>
      <c r="O68" s="5" t="n">
        <v>3</v>
      </c>
      <c r="P68" s="5" t="n">
        <v>480</v>
      </c>
      <c r="Q68" s="4" t="inlineStr"/>
      <c r="R68" s="4" t="inlineStr"/>
      <c r="S68" s="8" t="n"/>
    </row>
    <row r="69">
      <c r="A69" s="4" t="inlineStr">
        <is>
          <t>8</t>
        </is>
      </c>
      <c r="B69" s="4" t="inlineStr">
        <is>
          <t>SECCION TORRE DE ENFRIAMIENTO CT-00203</t>
        </is>
      </c>
      <c r="C69" s="4" t="inlineStr">
        <is>
          <t>BB-SFI-25-01</t>
        </is>
      </c>
      <c r="D69" s="4" t="inlineStr">
        <is>
          <t>20940289</t>
        </is>
      </c>
      <c r="E69" s="8" t="n">
        <v>26.1</v>
      </c>
      <c r="F69" s="20" t="n">
        <v>160</v>
      </c>
      <c r="G69" s="5" t="n">
        <v>0.5</v>
      </c>
      <c r="H69" s="5" t="n"/>
      <c r="I69" s="5" t="n">
        <v>125</v>
      </c>
      <c r="J69" s="5" t="n"/>
      <c r="K69" s="5" t="n">
        <v>100</v>
      </c>
      <c r="L69" s="4" t="inlineStr">
        <is>
          <t>NIQUEL-CADMIO</t>
        </is>
      </c>
      <c r="M69" s="4" t="inlineStr">
        <is>
          <t>HOPPECKE</t>
        </is>
      </c>
      <c r="N69" s="4" t="inlineStr">
        <is>
          <t>FNC 160 M</t>
        </is>
      </c>
      <c r="O69" s="5" t="n">
        <v>3</v>
      </c>
      <c r="P69" s="5" t="n">
        <v>480</v>
      </c>
      <c r="Q69" s="4" t="inlineStr">
        <is>
          <t>kVA no comercial: validar placa</t>
        </is>
      </c>
      <c r="R69" s="4" t="inlineStr"/>
      <c r="S69" s="8" t="n"/>
    </row>
    <row r="70">
      <c r="A70" s="4" t="inlineStr">
        <is>
          <t>8</t>
        </is>
      </c>
      <c r="B70" s="4" t="inlineStr">
        <is>
          <t>SECCION TORRE DE ENFRIAMIENTO CT-00203</t>
        </is>
      </c>
      <c r="C70" s="4" t="inlineStr">
        <is>
          <t>BB-SFI-SE25-SCD/TEL/SFG</t>
        </is>
      </c>
      <c r="D70" s="4" t="inlineStr">
        <is>
          <t>20940291</t>
        </is>
      </c>
      <c r="E70" s="8" t="n">
        <v>17.9</v>
      </c>
      <c r="F70" s="20" t="n">
        <v>80</v>
      </c>
      <c r="G70" s="5" t="n">
        <v>0.5</v>
      </c>
      <c r="H70" s="5" t="n"/>
      <c r="I70" s="5" t="n">
        <v>125</v>
      </c>
      <c r="J70" s="5" t="n"/>
      <c r="K70" s="5" t="n">
        <v>100</v>
      </c>
      <c r="L70" s="4" t="inlineStr">
        <is>
          <t>NIQUEL-CADMIO</t>
        </is>
      </c>
      <c r="M70" s="4" t="inlineStr">
        <is>
          <t>HOPPECKE</t>
        </is>
      </c>
      <c r="N70" s="4" t="inlineStr">
        <is>
          <t>FNC 80 M</t>
        </is>
      </c>
      <c r="O70" s="5" t="n">
        <v>3</v>
      </c>
      <c r="P70" s="5" t="n">
        <v>480</v>
      </c>
      <c r="Q70" s="4" t="inlineStr">
        <is>
          <t>kVA no comercial: validar placa</t>
        </is>
      </c>
      <c r="R70" s="4" t="inlineStr"/>
      <c r="S70" s="8" t="n"/>
    </row>
    <row r="71">
      <c r="A71" s="4" t="inlineStr">
        <is>
          <t>8</t>
        </is>
      </c>
      <c r="B71" s="4" t="inlineStr">
        <is>
          <t>SERVICIOS COMPLEMENTARIOS</t>
        </is>
      </c>
      <c r="C71" s="4" t="inlineStr">
        <is>
          <t>BB-SFI-17-01</t>
        </is>
      </c>
      <c r="D71" s="4" t="inlineStr">
        <is>
          <t>20940293</t>
        </is>
      </c>
      <c r="E71" s="8" t="n">
        <v>35.9</v>
      </c>
      <c r="F71" s="20" t="n">
        <v>265</v>
      </c>
      <c r="G71" s="5" t="n">
        <v>0.5</v>
      </c>
      <c r="H71" s="5" t="n"/>
      <c r="I71" s="5" t="n">
        <v>125</v>
      </c>
      <c r="J71" s="5" t="n"/>
      <c r="K71" s="5" t="n">
        <v>100</v>
      </c>
      <c r="L71" s="4" t="inlineStr">
        <is>
          <t>NIQUEL-CADMIO</t>
        </is>
      </c>
      <c r="M71" s="4" t="inlineStr">
        <is>
          <t>HOPPECKE</t>
        </is>
      </c>
      <c r="N71" s="4" t="inlineStr">
        <is>
          <t>FNC 265 M</t>
        </is>
      </c>
      <c r="O71" s="5" t="n">
        <v>3</v>
      </c>
      <c r="P71" s="5" t="n">
        <v>480</v>
      </c>
      <c r="Q71" s="4" t="inlineStr">
        <is>
          <t>kVA no comercial: validar placa</t>
        </is>
      </c>
      <c r="R71" s="4" t="inlineStr"/>
      <c r="S71" s="8" t="n"/>
    </row>
    <row r="72">
      <c r="A72" s="4" t="inlineStr">
        <is>
          <t>8</t>
        </is>
      </c>
      <c r="B72" s="4" t="inlineStr">
        <is>
          <t>SERVICIOS COMPLEMENTARIOS</t>
        </is>
      </c>
      <c r="C72" s="4" t="inlineStr">
        <is>
          <t>BB-SFI-CCS17-ESD/SFG</t>
        </is>
      </c>
      <c r="D72" s="4" t="inlineStr">
        <is>
          <t>20940295</t>
        </is>
      </c>
      <c r="E72" s="8" t="n">
        <v>17.9</v>
      </c>
      <c r="F72" s="20" t="n">
        <v>80</v>
      </c>
      <c r="G72" s="5" t="n">
        <v>0.5</v>
      </c>
      <c r="H72" s="5" t="n"/>
      <c r="I72" s="5" t="n">
        <v>125</v>
      </c>
      <c r="J72" s="5" t="n"/>
      <c r="K72" s="5" t="n">
        <v>100</v>
      </c>
      <c r="L72" s="4" t="inlineStr">
        <is>
          <t>NIQUEL-CADMIO</t>
        </is>
      </c>
      <c r="M72" s="4" t="inlineStr">
        <is>
          <t>HOPPECKE</t>
        </is>
      </c>
      <c r="N72" s="4" t="inlineStr">
        <is>
          <t>FNC 80 M</t>
        </is>
      </c>
      <c r="O72" s="5" t="n">
        <v>3</v>
      </c>
      <c r="P72" s="5" t="n">
        <v>480</v>
      </c>
      <c r="Q72" s="4" t="inlineStr">
        <is>
          <t>kVA no comercial: validar placa</t>
        </is>
      </c>
      <c r="R72" s="4" t="inlineStr"/>
      <c r="S72" s="8" t="n"/>
    </row>
    <row r="73">
      <c r="A73" s="4" t="inlineStr">
        <is>
          <t>8</t>
        </is>
      </c>
      <c r="B73" s="4" t="inlineStr">
        <is>
          <t>SERVICIOS COMPLEMENTARIOS</t>
        </is>
      </c>
      <c r="C73" s="4" t="inlineStr">
        <is>
          <t>BB-SFI-CCS17-SCD/TEL</t>
        </is>
      </c>
      <c r="D73" s="4" t="inlineStr">
        <is>
          <t>20940296</t>
        </is>
      </c>
      <c r="E73" s="8" t="n">
        <v>65.5</v>
      </c>
      <c r="F73" s="20" t="n">
        <v>300</v>
      </c>
      <c r="G73" s="5" t="n">
        <v>0.5</v>
      </c>
      <c r="H73" s="5" t="n"/>
      <c r="I73" s="5" t="n">
        <v>125</v>
      </c>
      <c r="J73" s="5" t="n"/>
      <c r="K73" s="5" t="n">
        <v>100</v>
      </c>
      <c r="L73" s="4" t="inlineStr">
        <is>
          <t>NIQUEL-CADMIO</t>
        </is>
      </c>
      <c r="M73" s="4" t="inlineStr">
        <is>
          <t>HOPPECKE</t>
        </is>
      </c>
      <c r="N73" s="4" t="inlineStr">
        <is>
          <t>FNC 300 M</t>
        </is>
      </c>
      <c r="O73" s="5" t="n">
        <v>3</v>
      </c>
      <c r="P73" s="5" t="n">
        <v>480</v>
      </c>
      <c r="Q73" s="4" t="inlineStr">
        <is>
          <t>kVA no comercial: validar placa</t>
        </is>
      </c>
      <c r="R73" s="4" t="inlineStr"/>
      <c r="S73" s="8" t="n"/>
    </row>
    <row r="74">
      <c r="A74" s="4" t="inlineStr">
        <is>
          <t>8</t>
        </is>
      </c>
      <c r="B74" s="4" t="inlineStr">
        <is>
          <t>SUMINISTRO DE AGUA CRUDA</t>
        </is>
      </c>
      <c r="C74" s="4" t="inlineStr">
        <is>
          <t>BB-SFI-30-01</t>
        </is>
      </c>
      <c r="D74" s="4" t="inlineStr">
        <is>
          <t>20940247</t>
        </is>
      </c>
      <c r="E74" s="8" t="n">
        <v>35.9</v>
      </c>
      <c r="F74" s="20" t="n">
        <v>265</v>
      </c>
      <c r="G74" s="5" t="n">
        <v>0.5</v>
      </c>
      <c r="H74" s="5" t="n"/>
      <c r="I74" s="5" t="n">
        <v>125</v>
      </c>
      <c r="J74" s="5" t="n">
        <v>1</v>
      </c>
      <c r="K74" s="5" t="n">
        <v>100</v>
      </c>
      <c r="L74" s="4" t="inlineStr">
        <is>
          <t>NIQUEL-CADMIO</t>
        </is>
      </c>
      <c r="M74" s="4" t="inlineStr">
        <is>
          <t>HOPPECKE</t>
        </is>
      </c>
      <c r="N74" s="4" t="inlineStr">
        <is>
          <t>FNC 265 M</t>
        </is>
      </c>
      <c r="O74" s="5" t="n">
        <v>3</v>
      </c>
      <c r="P74" s="5" t="n">
        <v>480</v>
      </c>
      <c r="Q74" s="4" t="inlineStr">
        <is>
          <t>kVA no comercial: validar placa</t>
        </is>
      </c>
      <c r="R74" s="4" t="inlineStr"/>
      <c r="S74" s="8" t="n"/>
    </row>
    <row r="75">
      <c r="A75" s="4" t="inlineStr">
        <is>
          <t>8</t>
        </is>
      </c>
      <c r="B75" s="4" t="inlineStr">
        <is>
          <t>UNIDAD DESMINERALIZADORA DE AGUA</t>
        </is>
      </c>
      <c r="C75" s="4" t="inlineStr">
        <is>
          <t>BB-SFI-UDA-01</t>
        </is>
      </c>
      <c r="D75" s="4" t="inlineStr">
        <is>
          <t>20940269</t>
        </is>
      </c>
      <c r="E75" s="8" t="n">
        <v>10</v>
      </c>
      <c r="F75" s="20" t="n">
        <v>140</v>
      </c>
      <c r="G75" s="5" t="n">
        <v>0.5</v>
      </c>
      <c r="H75" s="5" t="n"/>
      <c r="I75" s="5" t="n">
        <v>125</v>
      </c>
      <c r="J75" s="5" t="n"/>
      <c r="K75" s="5" t="n">
        <v>100</v>
      </c>
      <c r="L75" s="4" t="inlineStr">
        <is>
          <t>NIQUEL-CADMIO</t>
        </is>
      </c>
      <c r="M75" s="4" t="inlineStr">
        <is>
          <t>GAZ</t>
        </is>
      </c>
      <c r="N75" s="4" t="inlineStr">
        <is>
          <t>KGM-140 P</t>
        </is>
      </c>
      <c r="O75" s="5" t="n">
        <v>3</v>
      </c>
      <c r="P75" s="5" t="n">
        <v>220</v>
      </c>
      <c r="Q75" s="4" t="inlineStr"/>
      <c r="R75" s="4" t="inlineStr"/>
      <c r="S75" s="8" t="n"/>
    </row>
    <row r="76">
      <c r="A76" s="4" t="inlineStr">
        <is>
          <t>8</t>
        </is>
      </c>
      <c r="B76" s="4" t="inlineStr">
        <is>
          <t>UNIDAD DESMINERALIZADORA DE AGUA</t>
        </is>
      </c>
      <c r="C76" s="4" t="inlineStr">
        <is>
          <t>BB-SFI-UDA-02</t>
        </is>
      </c>
      <c r="D76" s="4" t="inlineStr">
        <is>
          <t>20940270</t>
        </is>
      </c>
      <c r="E76" s="8" t="n">
        <v>30</v>
      </c>
      <c r="F76" s="20" t="n">
        <v>333</v>
      </c>
      <c r="G76" s="5" t="n">
        <v>0.5</v>
      </c>
      <c r="H76" s="5" t="n"/>
      <c r="I76" s="5" t="n">
        <v>120</v>
      </c>
      <c r="J76" s="5" t="n"/>
      <c r="K76" s="5" t="n">
        <v>200</v>
      </c>
      <c r="L76" s="4" t="inlineStr">
        <is>
          <t>NIQUEL-CADMIO</t>
        </is>
      </c>
      <c r="M76" s="4" t="inlineStr">
        <is>
          <t>HOPPECKE</t>
        </is>
      </c>
      <c r="N76" s="4" t="inlineStr">
        <is>
          <t>FNC-VR 333 M</t>
        </is>
      </c>
      <c r="O76" s="5" t="n">
        <v>3</v>
      </c>
      <c r="P76" s="5" t="n">
        <v>480</v>
      </c>
      <c r="Q76" s="4" t="inlineStr"/>
      <c r="R76" s="4" t="inlineStr"/>
      <c r="S76" s="8" t="n"/>
    </row>
    <row r="77">
      <c r="A77" s="4" t="inlineStr">
        <is>
          <t>8</t>
        </is>
      </c>
      <c r="B77" s="4" t="inlineStr">
        <is>
          <t>UNIDAD DESMINERALIZADORA DE AGUA</t>
        </is>
      </c>
      <c r="C77" s="4" t="inlineStr">
        <is>
          <t>BB-SFI-UDA-03</t>
        </is>
      </c>
      <c r="D77" s="4" t="inlineStr">
        <is>
          <t>20940271</t>
        </is>
      </c>
      <c r="E77" s="8" t="n">
        <v>10</v>
      </c>
      <c r="F77" s="20" t="n">
        <v>140</v>
      </c>
      <c r="G77" s="5" t="n">
        <v>0.5</v>
      </c>
      <c r="H77" s="5" t="n"/>
      <c r="I77" s="5" t="n">
        <v>125</v>
      </c>
      <c r="J77" s="5" t="n"/>
      <c r="K77" s="5" t="n">
        <v>100</v>
      </c>
      <c r="L77" s="4" t="inlineStr">
        <is>
          <t>NIQUEL-CADMIO</t>
        </is>
      </c>
      <c r="M77" s="4" t="inlineStr">
        <is>
          <t>GAZ</t>
        </is>
      </c>
      <c r="N77" s="4" t="inlineStr">
        <is>
          <t>KGM-140 P</t>
        </is>
      </c>
      <c r="O77" s="5" t="n">
        <v>3</v>
      </c>
      <c r="P77" s="5" t="n">
        <v>220</v>
      </c>
      <c r="Q77" s="4" t="inlineStr"/>
      <c r="R77" s="4" t="inlineStr"/>
      <c r="S77" s="8" t="n"/>
    </row>
    <row r="78">
      <c r="A78" s="4" t="inlineStr">
        <is>
          <t>TALLERES</t>
        </is>
      </c>
      <c r="B78" s="4" t="inlineStr">
        <is>
          <t>CENTRAL CI</t>
        </is>
      </c>
      <c r="C78" s="4" t="inlineStr">
        <is>
          <t>BB-SFI-CCIS-SCD/SINE/TEL</t>
        </is>
      </c>
      <c r="D78" s="4" t="inlineStr">
        <is>
          <t>20994405</t>
        </is>
      </c>
      <c r="E78" s="8" t="n">
        <v>10</v>
      </c>
      <c r="F78" s="20" t="n">
        <v>80</v>
      </c>
      <c r="G78" s="5" t="n">
        <v>5</v>
      </c>
      <c r="H78" s="5" t="n">
        <v>160</v>
      </c>
      <c r="I78" s="5" t="n">
        <v>125</v>
      </c>
      <c r="J78" s="5" t="n">
        <v>140</v>
      </c>
      <c r="K78" s="5" t="n">
        <v>100</v>
      </c>
      <c r="L78" s="4" t="inlineStr">
        <is>
          <t>NIQUEL-CADMIO</t>
        </is>
      </c>
      <c r="M78" s="4" t="inlineStr">
        <is>
          <t>HOPPECKE</t>
        </is>
      </c>
      <c r="N78" s="4" t="inlineStr">
        <is>
          <t>FNC 80M</t>
        </is>
      </c>
      <c r="O78" s="5" t="n">
        <v>3</v>
      </c>
      <c r="P78" s="5" t="n">
        <v>480</v>
      </c>
      <c r="Q78" s="4" t="inlineStr"/>
      <c r="R78" s="4" t="inlineStr"/>
      <c r="S78" s="8" t="n"/>
    </row>
    <row r="79">
      <c r="A79" s="4" t="inlineStr">
        <is>
          <t>TALLERES</t>
        </is>
      </c>
      <c r="B79" s="4" t="inlineStr">
        <is>
          <t>EDIFICIO ADMINISTRATIVO NORTE</t>
        </is>
      </c>
      <c r="C79" s="4" t="inlineStr">
        <is>
          <t>BBSFI-28-01</t>
        </is>
      </c>
      <c r="D79" s="4" t="inlineStr">
        <is>
          <t>20940206</t>
        </is>
      </c>
      <c r="E79" s="8" t="n">
        <v>7.5</v>
      </c>
      <c r="F79" s="20" t="n">
        <v>140</v>
      </c>
      <c r="G79" s="5" t="n">
        <v>5</v>
      </c>
      <c r="H79" s="5" t="n">
        <v>151</v>
      </c>
      <c r="I79" s="5" t="n">
        <v>125</v>
      </c>
      <c r="J79" s="5" t="n">
        <v>135</v>
      </c>
      <c r="K79" s="5" t="n">
        <v>100</v>
      </c>
      <c r="L79" s="4" t="inlineStr">
        <is>
          <t>NIQUEL-CADMIO</t>
        </is>
      </c>
      <c r="M79" s="4" t="inlineStr">
        <is>
          <t>POWER SAFE ENERSYS</t>
        </is>
      </c>
      <c r="N79" s="4" t="inlineStr">
        <is>
          <t>VGM 140</t>
        </is>
      </c>
      <c r="O79" s="5" t="n">
        <v>3</v>
      </c>
      <c r="P79" s="5" t="n">
        <v>480</v>
      </c>
      <c r="Q79" s="4" t="inlineStr"/>
      <c r="R79" s="4" t="inlineStr"/>
      <c r="S79" s="8" t="n"/>
    </row>
    <row r="80">
      <c r="A80" s="4" t="inlineStr">
        <is>
          <t>TALLERES</t>
        </is>
      </c>
      <c r="B80" s="4" t="inlineStr">
        <is>
          <t>EDIFICIO ADMINISTRATIVO NORTE</t>
        </is>
      </c>
      <c r="C80" s="4" t="inlineStr">
        <is>
          <t>BBSFI-28-TEL/F&amp;G</t>
        </is>
      </c>
      <c r="D80" s="4" t="inlineStr">
        <is>
          <t>20940207</t>
        </is>
      </c>
      <c r="E80" s="8" t="n">
        <v>15</v>
      </c>
      <c r="F80" s="20" t="n">
        <v>185</v>
      </c>
      <c r="G80" s="5" t="n">
        <v>5</v>
      </c>
      <c r="H80" s="5" t="n">
        <v>151</v>
      </c>
      <c r="I80" s="5" t="n">
        <v>125</v>
      </c>
      <c r="J80" s="5" t="n">
        <v>135</v>
      </c>
      <c r="K80" s="5" t="n">
        <v>100</v>
      </c>
      <c r="L80" s="4" t="inlineStr">
        <is>
          <t>NIQUEL-CADMIO</t>
        </is>
      </c>
      <c r="M80" s="4" t="inlineStr">
        <is>
          <t>POWER SAFE ENERSYS</t>
        </is>
      </c>
      <c r="N80" s="4" t="inlineStr">
        <is>
          <t>VGM 185</t>
        </is>
      </c>
      <c r="O80" s="5" t="n">
        <v>3</v>
      </c>
      <c r="P80" s="5" t="n">
        <v>480</v>
      </c>
      <c r="Q80" s="4" t="inlineStr"/>
      <c r="R80" s="4" t="inlineStr"/>
      <c r="S80" s="8" t="n"/>
    </row>
    <row r="81">
      <c r="A81" s="4" t="inlineStr">
        <is>
          <t>TALLERES</t>
        </is>
      </c>
      <c r="B81" s="4" t="inlineStr">
        <is>
          <t>EDIFICIO ADMINISTRATIVO SUR</t>
        </is>
      </c>
      <c r="C81" s="4" t="inlineStr">
        <is>
          <t>BB-1001</t>
        </is>
      </c>
      <c r="D81" s="4" t="inlineStr">
        <is>
          <t>20940213</t>
        </is>
      </c>
      <c r="E81" s="8" t="n">
        <v>15</v>
      </c>
      <c r="F81" s="20" t="n">
        <v>150</v>
      </c>
      <c r="G81" s="5" t="n">
        <v>5</v>
      </c>
      <c r="H81" s="5" t="n">
        <v>45.5</v>
      </c>
      <c r="I81" s="5" t="n">
        <v>125</v>
      </c>
      <c r="J81" s="5" t="n">
        <v>135</v>
      </c>
      <c r="K81" s="5" t="n">
        <v>172</v>
      </c>
      <c r="L81" s="4" t="inlineStr">
        <is>
          <t>NIQUEL-CADMIO</t>
        </is>
      </c>
      <c r="M81" s="4" t="inlineStr">
        <is>
          <t>SAFT</t>
        </is>
      </c>
      <c r="N81" s="4" t="inlineStr">
        <is>
          <t>UP1M 150-4</t>
        </is>
      </c>
      <c r="O81" s="5" t="n">
        <v>3</v>
      </c>
      <c r="P81" s="5" t="n">
        <v>480</v>
      </c>
      <c r="Q81" s="4" t="inlineStr"/>
      <c r="R81" s="4" t="inlineStr"/>
      <c r="S81" s="8" t="n"/>
    </row>
    <row r="82">
      <c r="A82" s="4" t="inlineStr">
        <is>
          <t>TALLERES</t>
        </is>
      </c>
      <c r="B82" s="4" t="inlineStr">
        <is>
          <t>EDIFICIO ADMINISTRATIVO SUR</t>
        </is>
      </c>
      <c r="C82" s="4" t="inlineStr">
        <is>
          <t>BB-1002</t>
        </is>
      </c>
      <c r="D82" s="4" t="inlineStr">
        <is>
          <t>20940214</t>
        </is>
      </c>
      <c r="E82" s="8" t="n">
        <v>40</v>
      </c>
      <c r="F82" s="20" t="n">
        <v>245</v>
      </c>
      <c r="G82" s="5" t="n">
        <v>5</v>
      </c>
      <c r="H82" s="5" t="n">
        <v>136</v>
      </c>
      <c r="I82" s="5" t="n">
        <v>125</v>
      </c>
      <c r="J82" s="5" t="n">
        <v>135</v>
      </c>
      <c r="K82" s="5" t="n">
        <v>172</v>
      </c>
      <c r="L82" s="4" t="inlineStr">
        <is>
          <t>NIQUEL-CADMIO</t>
        </is>
      </c>
      <c r="M82" s="4" t="inlineStr">
        <is>
          <t>SAFT</t>
        </is>
      </c>
      <c r="N82" s="4" t="inlineStr">
        <is>
          <t>UP1M 245-2</t>
        </is>
      </c>
      <c r="O82" s="5" t="n">
        <v>3</v>
      </c>
      <c r="P82" s="5" t="n">
        <v>480</v>
      </c>
      <c r="Q82" s="4" t="inlineStr"/>
      <c r="R82" s="4" t="inlineStr"/>
      <c r="S82" s="8" t="n"/>
    </row>
    <row r="83">
      <c r="A83" s="4" t="inlineStr">
        <is>
          <t>TALLERES</t>
        </is>
      </c>
      <c r="B83" s="4" t="inlineStr">
        <is>
          <t>EDIFICIO ADMINISTRATIVO SUR</t>
        </is>
      </c>
      <c r="C83" s="4" t="inlineStr">
        <is>
          <t>BB-3001</t>
        </is>
      </c>
      <c r="D83" s="4" t="inlineStr">
        <is>
          <t>20940215</t>
        </is>
      </c>
      <c r="E83" s="8" t="n">
        <v>20</v>
      </c>
      <c r="F83" s="20" t="n">
        <v>195</v>
      </c>
      <c r="G83" s="5" t="n">
        <v>5</v>
      </c>
      <c r="H83" s="5" t="n">
        <v>90.90000000000001</v>
      </c>
      <c r="I83" s="5" t="n">
        <v>125</v>
      </c>
      <c r="J83" s="5" t="n">
        <v>135</v>
      </c>
      <c r="K83" s="5" t="n">
        <v>172</v>
      </c>
      <c r="L83" s="4" t="inlineStr">
        <is>
          <t>NIQUEL-CADMIO</t>
        </is>
      </c>
      <c r="M83" s="4" t="inlineStr">
        <is>
          <t>SAFT</t>
        </is>
      </c>
      <c r="N83" s="4" t="inlineStr">
        <is>
          <t>UP1M 195-4</t>
        </is>
      </c>
      <c r="O83" s="5" t="n">
        <v>3</v>
      </c>
      <c r="P83" s="5" t="n">
        <v>480</v>
      </c>
      <c r="Q83" s="4" t="inlineStr"/>
      <c r="R83" s="4" t="inlineStr"/>
      <c r="S83" s="8" t="n"/>
    </row>
    <row r="84">
      <c r="A84" s="4" t="inlineStr">
        <is>
          <t>TALLERES</t>
        </is>
      </c>
      <c r="B84" s="4" t="inlineStr">
        <is>
          <t>EDIFICIO ADMINISTRATIVO SUR</t>
        </is>
      </c>
      <c r="C84" s="4" t="inlineStr">
        <is>
          <t>BB-3002</t>
        </is>
      </c>
      <c r="D84" s="4" t="inlineStr">
        <is>
          <t>20940216</t>
        </is>
      </c>
      <c r="E84" s="8" t="n">
        <v>80</v>
      </c>
      <c r="F84" s="20" t="n">
        <v>490</v>
      </c>
      <c r="G84" s="5" t="n">
        <v>5</v>
      </c>
      <c r="H84" s="5" t="n">
        <v>363</v>
      </c>
      <c r="I84" s="5" t="n">
        <v>125</v>
      </c>
      <c r="J84" s="5" t="n">
        <v>135</v>
      </c>
      <c r="K84" s="5" t="n">
        <v>172</v>
      </c>
      <c r="L84" s="4" t="inlineStr">
        <is>
          <t>NIQUEL-CADMIO</t>
        </is>
      </c>
      <c r="M84" s="4" t="inlineStr">
        <is>
          <t>SAFT</t>
        </is>
      </c>
      <c r="N84" s="4" t="inlineStr">
        <is>
          <t>UP1M 490-1</t>
        </is>
      </c>
      <c r="O84" s="5" t="n">
        <v>3</v>
      </c>
      <c r="P84" s="5" t="n">
        <v>480</v>
      </c>
      <c r="Q84" s="4" t="inlineStr"/>
      <c r="R84" s="4" t="inlineStr"/>
      <c r="S84" s="8" t="n"/>
    </row>
    <row r="85">
      <c r="A85" s="4" t="inlineStr">
        <is>
          <t>TALLERES</t>
        </is>
      </c>
      <c r="B85" s="4" t="inlineStr">
        <is>
          <t>EDIFICIO TELECOM</t>
        </is>
      </c>
      <c r="C85" s="4" t="inlineStr">
        <is>
          <t>BB-SFI-AECR-ETL-101-01</t>
        </is>
      </c>
      <c r="D85" s="4" t="inlineStr">
        <is>
          <t>20994403</t>
        </is>
      </c>
      <c r="E85" s="8" t="n">
        <v>80</v>
      </c>
      <c r="F85" s="20" t="n">
        <v>1130</v>
      </c>
      <c r="G85" s="5" t="n">
        <v>5</v>
      </c>
      <c r="H85" s="5" t="n">
        <v>226</v>
      </c>
      <c r="I85" s="5" t="n">
        <v>220</v>
      </c>
      <c r="J85" s="5" t="n">
        <v>269.8</v>
      </c>
      <c r="K85" s="5" t="n">
        <v>190</v>
      </c>
      <c r="L85" s="4" t="inlineStr">
        <is>
          <t>NIQUEL-CADMIO</t>
        </is>
      </c>
      <c r="M85" s="4" t="inlineStr">
        <is>
          <t>ALCAD</t>
        </is>
      </c>
      <c r="N85" s="4" t="inlineStr">
        <is>
          <t>VTX 1M1130-1</t>
        </is>
      </c>
      <c r="O85" s="5" t="n">
        <v>3</v>
      </c>
      <c r="P85" s="5" t="n">
        <v>480</v>
      </c>
      <c r="Q85" s="4" t="inlineStr"/>
      <c r="R85" s="4" t="inlineStr"/>
      <c r="S85" s="8" t="n"/>
    </row>
    <row r="86">
      <c r="A86" s="4" t="inlineStr">
        <is>
          <t>TALLERES</t>
        </is>
      </c>
      <c r="B86" s="4" t="inlineStr">
        <is>
          <t>EDIFICIO TELECOM</t>
        </is>
      </c>
      <c r="C86" s="4" t="inlineStr">
        <is>
          <t>BB-SFI-AECR-ETL-101-02</t>
        </is>
      </c>
      <c r="D86" s="4" t="inlineStr">
        <is>
          <t>20994404</t>
        </is>
      </c>
      <c r="E86" s="8" t="n">
        <v>20</v>
      </c>
      <c r="F86" s="20" t="n">
        <v>420</v>
      </c>
      <c r="G86" s="5" t="n">
        <v>5</v>
      </c>
      <c r="H86" s="5" t="n">
        <v>84</v>
      </c>
      <c r="I86" s="5" t="n">
        <v>125</v>
      </c>
      <c r="J86" s="5" t="n">
        <v>142</v>
      </c>
      <c r="K86" s="5" t="n">
        <v>100</v>
      </c>
      <c r="L86" s="4" t="inlineStr">
        <is>
          <t>NIQUEL-CADMIO</t>
        </is>
      </c>
      <c r="M86" s="4" t="inlineStr">
        <is>
          <t>ALCAD</t>
        </is>
      </c>
      <c r="N86" s="4" t="inlineStr">
        <is>
          <t>VTX 1M420-2/VTX 1M420-3</t>
        </is>
      </c>
      <c r="O86" s="5" t="n">
        <v>3</v>
      </c>
      <c r="P86" s="5" t="n">
        <v>480</v>
      </c>
      <c r="Q86" s="4" t="inlineStr"/>
      <c r="R86" s="4" t="inlineStr"/>
      <c r="S86" s="8" t="n"/>
    </row>
  </sheetData>
  <autoFilter ref="A1:S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MÉTODO Y LÍMITES</t>
        </is>
      </c>
    </row>
    <row r="2">
      <c r="A2" s="26" t="inlineStr">
        <is>
          <t>1. Universo: 85 bancos de baterías de SFI del censo SAP (75 con "SFI" en el TAG o denominación, más 10 con tipo de cargador "SFI": BB-CCC-10/15/16/17/18/19 y BB-1001/1002/3001/3002). Cada banco se toma como una unidad SFI.</t>
        </is>
      </c>
    </row>
    <row r="3">
      <c r="A3" s="26" t="inlineStr">
        <is>
          <t>2. SAP no tiene el UPS como objeto propio con potencia: la kVA sale del campo "potencia nominal" del banco. [Suposición] corresponde a la potencia del SFI. Se comprobó en los 2 SFI medidos el 02/10/26: SCD/TEL 80 kVA con carga 3×128 V×29 A = 11.1 kVA (13.9 %, el folio dice 13 %) y SIS/F&amp;G 60 kVA con 8.4 kVA (14.1 %, el folio dice 14 %).</t>
        </is>
      </c>
    </row>
    <row r="4">
      <c r="A4" s="26" t="inlineStr">
        <is>
          <t>3. kVA es potencia aparente: SAP no trae factor de potencia ni kW. Los UPS con otra denominación (sin "SFI") no están en este censo.</t>
        </is>
      </c>
    </row>
    <row r="5">
      <c r="A5" s="26" t="inlineStr">
        <is>
          <t>4. Filas amarillas: sin kVA en SAP. Valores de kVA no comerciales (17.9, 26.1, 35.9, 41, 43, 65.5, 134) están marcados "validar placa".</t>
        </is>
      </c>
    </row>
    <row r="6">
      <c r="A6" s="26" t="inlineStr">
        <is>
          <t>5. Sector 2 (Coquizadora, SE-15 y SE-15-1): 7 de 8 SFI sin kVA. La inspección del 02/10/26 marcó "UPS en operación normal" sin registrar modo ni potencia.</t>
        </is>
      </c>
    </row>
    <row r="7">
      <c r="A7" s="26" t="inlineStr">
        <is>
          <t>6. Estado 02/10/26: BB-SFI-12_1-01 (UDC1) fuera de servicio, en bypass externo (fila roja).</t>
        </is>
      </c>
    </row>
    <row r="8">
      <c r="A8" s="26" t="inlineStr">
        <is>
          <t>7. La hoja Resumen usa fórmulas (COUNTIFS, SUMIFS, MAXIFS, MINIFS): requieren Excel 2019 o posterior; se recalculan al abrir.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2026-10-03T01:40:24Z</dcterms:created>
  <dcterms:modified xmlns:dcterms="http://purl.org/dc/terms/" xmlns:xsi="http://www.w3.org/2001/XMLSchema-instance" xsi:type="dcterms:W3CDTF">2026-10-03T01:40:25Z</dcterms:modified>
</cp:coreProperties>
</file>